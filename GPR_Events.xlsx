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c17c87fde5f3bec7/Documents/GitHub/Geopolitical-Risk-Bitcoin-SA-Markets/"/>
    </mc:Choice>
  </mc:AlternateContent>
  <xr:revisionPtr revIDLastSave="17" documentId="8_{08A453D2-2E06-4980-A1E9-912DA4BDCD51}" xr6:coauthVersionLast="47" xr6:coauthVersionMax="47" xr10:uidLastSave="{DA42DCDF-4D60-4C77-BCEA-1DAE7314F5C4}"/>
  <bookViews>
    <workbookView xWindow="-108" yWindow="-108" windowWidth="23256" windowHeight="12456" activeTab="2" xr2:uid="{00000000-000D-0000-FFFF-FFFF00000000}"/>
  </bookViews>
  <sheets>
    <sheet name="45 events" sheetId="1" r:id="rId1"/>
    <sheet name="135 Raw Peak Audit" sheetId="2" r:id="rId2"/>
    <sheet name="Source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1" l="1" a="1"/>
  <c r="M3" i="1" s="1"/>
  <c r="M4" i="1" a="1"/>
  <c r="M4" i="1"/>
  <c r="M5" i="1" a="1"/>
  <c r="M5" i="1"/>
  <c r="M6" i="1" a="1"/>
  <c r="M6" i="1"/>
  <c r="M7" i="1" a="1"/>
  <c r="M7" i="1" s="1"/>
  <c r="M8" i="1" a="1"/>
  <c r="M8" i="1"/>
  <c r="M9" i="1" a="1"/>
  <c r="M9" i="1"/>
  <c r="M10" i="1" a="1"/>
  <c r="M10" i="1"/>
  <c r="M11" i="1" a="1"/>
  <c r="M11" i="1" s="1"/>
  <c r="M12" i="1" a="1"/>
  <c r="M12" i="1"/>
  <c r="M13" i="1" a="1"/>
  <c r="M13" i="1"/>
  <c r="M14" i="1" a="1"/>
  <c r="M14" i="1"/>
  <c r="M15" i="1" a="1"/>
  <c r="M15" i="1" s="1"/>
  <c r="M16" i="1" a="1"/>
  <c r="M16" i="1"/>
  <c r="M17" i="1" a="1"/>
  <c r="M17" i="1" s="1"/>
  <c r="M18" i="1" a="1"/>
  <c r="M18" i="1"/>
  <c r="M19" i="1" a="1"/>
  <c r="M19" i="1" s="1"/>
  <c r="M20" i="1" a="1"/>
  <c r="M20" i="1"/>
  <c r="M21" i="1" a="1"/>
  <c r="M21" i="1"/>
  <c r="M22" i="1" a="1"/>
  <c r="M22" i="1"/>
  <c r="M23" i="1" a="1"/>
  <c r="M23" i="1" s="1"/>
  <c r="M24" i="1" a="1"/>
  <c r="M24" i="1"/>
  <c r="M25" i="1" a="1"/>
  <c r="M25" i="1"/>
  <c r="M26" i="1" a="1"/>
  <c r="M26" i="1"/>
  <c r="M27" i="1" a="1"/>
  <c r="M27" i="1" s="1"/>
  <c r="M28" i="1" a="1"/>
  <c r="M28" i="1"/>
  <c r="M29" i="1" a="1"/>
  <c r="M29" i="1"/>
  <c r="M30" i="1" a="1"/>
  <c r="M30" i="1"/>
  <c r="M31" i="1" a="1"/>
  <c r="M31" i="1" s="1"/>
  <c r="M32" i="1" a="1"/>
  <c r="M32" i="1"/>
  <c r="M33" i="1" a="1"/>
  <c r="M33" i="1"/>
  <c r="M34" i="1" a="1"/>
  <c r="M34" i="1"/>
  <c r="M35" i="1" a="1"/>
  <c r="M35" i="1" s="1"/>
  <c r="M36" i="1" a="1"/>
  <c r="M36" i="1"/>
  <c r="M37" i="1" a="1"/>
  <c r="M37" i="1"/>
  <c r="M38" i="1" a="1"/>
  <c r="M38" i="1"/>
  <c r="M39" i="1" a="1"/>
  <c r="M39" i="1" s="1"/>
  <c r="M40" i="1" a="1"/>
  <c r="M40" i="1"/>
  <c r="M41" i="1" a="1"/>
  <c r="M41" i="1"/>
  <c r="M42" i="1" a="1"/>
  <c r="M42" i="1" s="1"/>
  <c r="M43" i="1" a="1"/>
  <c r="M43" i="1" s="1"/>
  <c r="M44" i="1" a="1"/>
  <c r="M44" i="1" s="1"/>
  <c r="M45" i="1" a="1"/>
  <c r="M45" i="1" s="1"/>
  <c r="M46" i="1" a="1"/>
  <c r="M46" i="1" s="1"/>
  <c r="M2" i="1" a="1"/>
  <c r="M2" i="1"/>
  <c r="L3" i="1" a="1"/>
  <c r="L3" i="1" s="1"/>
  <c r="L4" i="1" a="1"/>
  <c r="L4" i="1"/>
  <c r="L5" i="1" a="1"/>
  <c r="L5" i="1"/>
  <c r="L6" i="1" a="1"/>
  <c r="L6" i="1"/>
  <c r="L7" i="1" a="1"/>
  <c r="L7" i="1" s="1"/>
  <c r="L8" i="1" a="1"/>
  <c r="L8" i="1"/>
  <c r="L9" i="1" a="1"/>
  <c r="L9" i="1"/>
  <c r="L10" i="1" a="1"/>
  <c r="L10" i="1"/>
  <c r="L11" i="1" a="1"/>
  <c r="L11" i="1" s="1"/>
  <c r="L12" i="1" a="1"/>
  <c r="L12" i="1"/>
  <c r="L13" i="1" a="1"/>
  <c r="L13" i="1"/>
  <c r="L14" i="1" a="1"/>
  <c r="L14" i="1"/>
  <c r="L15" i="1" a="1"/>
  <c r="L15" i="1" s="1"/>
  <c r="L16" i="1" a="1"/>
  <c r="L16" i="1" s="1"/>
  <c r="L17" i="1" a="1"/>
  <c r="L17" i="1"/>
  <c r="L18" i="1" a="1"/>
  <c r="L18" i="1"/>
  <c r="L19" i="1" a="1"/>
  <c r="L19" i="1" s="1"/>
  <c r="L20" i="1" a="1"/>
  <c r="L20" i="1" s="1"/>
  <c r="L21" i="1" a="1"/>
  <c r="L21" i="1"/>
  <c r="L22" i="1" a="1"/>
  <c r="L22" i="1"/>
  <c r="L23" i="1" a="1"/>
  <c r="L23" i="1" s="1"/>
  <c r="L24" i="1" a="1"/>
  <c r="L24" i="1" s="1"/>
  <c r="L25" i="1" a="1"/>
  <c r="L25" i="1"/>
  <c r="L26" i="1" a="1"/>
  <c r="L26" i="1"/>
  <c r="L27" i="1" a="1"/>
  <c r="L27" i="1" s="1"/>
  <c r="L28" i="1" a="1"/>
  <c r="L28" i="1" s="1"/>
  <c r="L29" i="1" a="1"/>
  <c r="L29" i="1"/>
  <c r="L30" i="1" a="1"/>
  <c r="L30" i="1"/>
  <c r="L31" i="1" a="1"/>
  <c r="L31" i="1" s="1"/>
  <c r="L32" i="1" a="1"/>
  <c r="L32" i="1" s="1"/>
  <c r="L33" i="1" a="1"/>
  <c r="L33" i="1"/>
  <c r="L34" i="1" a="1"/>
  <c r="L34" i="1"/>
  <c r="L35" i="1" a="1"/>
  <c r="L35" i="1" s="1"/>
  <c r="L36" i="1" a="1"/>
  <c r="L36" i="1" s="1"/>
  <c r="L37" i="1" a="1"/>
  <c r="L37" i="1"/>
  <c r="L38" i="1" a="1"/>
  <c r="L38" i="1"/>
  <c r="L39" i="1" a="1"/>
  <c r="L39" i="1" s="1"/>
  <c r="L40" i="1" a="1"/>
  <c r="L40" i="1" s="1"/>
  <c r="L41" i="1" a="1"/>
  <c r="L41" i="1"/>
  <c r="L42" i="1" a="1"/>
  <c r="L42" i="1" s="1"/>
  <c r="L43" i="1" a="1"/>
  <c r="L43" i="1" s="1"/>
  <c r="L44" i="1" a="1"/>
  <c r="L44" i="1" s="1"/>
  <c r="L45" i="1" a="1"/>
  <c r="L45" i="1" s="1"/>
  <c r="L46" i="1" a="1"/>
  <c r="L46" i="1" s="1"/>
  <c r="L2" i="1" a="1"/>
  <c r="L2" i="1" s="1"/>
  <c r="K3" i="1" a="1"/>
  <c r="K3" i="1" s="1"/>
  <c r="K4" i="1" a="1"/>
  <c r="K4" i="1"/>
  <c r="K5" i="1" a="1"/>
  <c r="K5" i="1"/>
  <c r="K6" i="1" a="1"/>
  <c r="K6" i="1"/>
  <c r="K7" i="1" a="1"/>
  <c r="K7" i="1" s="1"/>
  <c r="K8" i="1" a="1"/>
  <c r="K8" i="1"/>
  <c r="K9" i="1" a="1"/>
  <c r="K9" i="1" s="1"/>
  <c r="K10" i="1" a="1"/>
  <c r="K10" i="1"/>
  <c r="K11" i="1" a="1"/>
  <c r="K11" i="1" s="1"/>
  <c r="K12" i="1" a="1"/>
  <c r="K12" i="1"/>
  <c r="K13" i="1" a="1"/>
  <c r="K13" i="1" s="1"/>
  <c r="K14" i="1" a="1"/>
  <c r="K14" i="1"/>
  <c r="K15" i="1" a="1"/>
  <c r="K15" i="1" s="1"/>
  <c r="K16" i="1" a="1"/>
  <c r="K16" i="1"/>
  <c r="K17" i="1" a="1"/>
  <c r="K17" i="1" s="1"/>
  <c r="K18" i="1" a="1"/>
  <c r="K18" i="1"/>
  <c r="K19" i="1" a="1"/>
  <c r="K19" i="1" s="1"/>
  <c r="K20" i="1" a="1"/>
  <c r="K20" i="1"/>
  <c r="K21" i="1" a="1"/>
  <c r="K21" i="1" s="1"/>
  <c r="K22" i="1" a="1"/>
  <c r="K22" i="1"/>
  <c r="K23" i="1" a="1"/>
  <c r="K23" i="1" s="1"/>
  <c r="K24" i="1" a="1"/>
  <c r="K24" i="1"/>
  <c r="K25" i="1" a="1"/>
  <c r="K25" i="1" s="1"/>
  <c r="K26" i="1" a="1"/>
  <c r="K26" i="1"/>
  <c r="K27" i="1" a="1"/>
  <c r="K27" i="1" s="1"/>
  <c r="K28" i="1" a="1"/>
  <c r="K28" i="1"/>
  <c r="K29" i="1" a="1"/>
  <c r="K29" i="1" s="1"/>
  <c r="K30" i="1" a="1"/>
  <c r="K30" i="1"/>
  <c r="K31" i="1" a="1"/>
  <c r="K31" i="1" s="1"/>
  <c r="K32" i="1" a="1"/>
  <c r="K32" i="1"/>
  <c r="K33" i="1" a="1"/>
  <c r="K33" i="1" s="1"/>
  <c r="K34" i="1" a="1"/>
  <c r="K34" i="1"/>
  <c r="K35" i="1" a="1"/>
  <c r="K35" i="1" s="1"/>
  <c r="K36" i="1" a="1"/>
  <c r="K36" i="1"/>
  <c r="K37" i="1" a="1"/>
  <c r="K37" i="1" s="1"/>
  <c r="K38" i="1" a="1"/>
  <c r="K38" i="1"/>
  <c r="K39" i="1" a="1"/>
  <c r="K39" i="1" s="1"/>
  <c r="K40" i="1" a="1"/>
  <c r="K40" i="1"/>
  <c r="K41" i="1" a="1"/>
  <c r="K41" i="1" s="1"/>
  <c r="K42" i="1" a="1"/>
  <c r="K42" i="1"/>
  <c r="K43" i="1" a="1"/>
  <c r="K43" i="1" s="1"/>
  <c r="K44" i="1" a="1"/>
  <c r="K44" i="1"/>
  <c r="K45" i="1" a="1"/>
  <c r="K45" i="1" s="1"/>
  <c r="K46" i="1" a="1"/>
  <c r="K46" i="1"/>
  <c r="K2" i="1" a="1"/>
  <c r="K2" i="1" s="1"/>
  <c r="I3" i="2" a="1"/>
  <c r="I3" i="2" s="1"/>
  <c r="I4" i="2" a="1"/>
  <c r="I4" i="2"/>
  <c r="I5" i="2" a="1"/>
  <c r="I5" i="2" s="1"/>
  <c r="I6" i="2" a="1"/>
  <c r="I6" i="2"/>
  <c r="I7" i="2" a="1"/>
  <c r="I7" i="2" s="1"/>
  <c r="I8" i="2" a="1"/>
  <c r="I8" i="2"/>
  <c r="I9" i="2" a="1"/>
  <c r="I9" i="2" s="1"/>
  <c r="I10" i="2" a="1"/>
  <c r="I10" i="2"/>
  <c r="I11" i="2" a="1"/>
  <c r="I11" i="2" s="1"/>
  <c r="I12" i="2" a="1"/>
  <c r="I12" i="2"/>
  <c r="I13" i="2" a="1"/>
  <c r="I13" i="2" s="1"/>
  <c r="I14" i="2" a="1"/>
  <c r="I14" i="2"/>
  <c r="I15" i="2" a="1"/>
  <c r="I15" i="2" s="1"/>
  <c r="I16" i="2" a="1"/>
  <c r="I16" i="2"/>
  <c r="I17" i="2" a="1"/>
  <c r="I17" i="2" s="1"/>
  <c r="I18" i="2" a="1"/>
  <c r="I18" i="2"/>
  <c r="I19" i="2" a="1"/>
  <c r="I19" i="2" s="1"/>
  <c r="I20" i="2" a="1"/>
  <c r="I20" i="2"/>
  <c r="I21" i="2" a="1"/>
  <c r="I21" i="2" s="1"/>
  <c r="I22" i="2" a="1"/>
  <c r="I22" i="2"/>
  <c r="I23" i="2" a="1"/>
  <c r="I23" i="2" s="1"/>
  <c r="I24" i="2" a="1"/>
  <c r="I24" i="2"/>
  <c r="I25" i="2" a="1"/>
  <c r="I25" i="2" s="1"/>
  <c r="I26" i="2" a="1"/>
  <c r="I26" i="2"/>
  <c r="I27" i="2" a="1"/>
  <c r="I27" i="2" s="1"/>
  <c r="I28" i="2" a="1"/>
  <c r="I28" i="2"/>
  <c r="I29" i="2" a="1"/>
  <c r="I29" i="2" s="1"/>
  <c r="I30" i="2" a="1"/>
  <c r="I30" i="2"/>
  <c r="I31" i="2" a="1"/>
  <c r="I31" i="2" s="1"/>
  <c r="I32" i="2" a="1"/>
  <c r="I32" i="2"/>
  <c r="I33" i="2" a="1"/>
  <c r="I33" i="2" s="1"/>
  <c r="I34" i="2" a="1"/>
  <c r="I34" i="2"/>
  <c r="I35" i="2" a="1"/>
  <c r="I35" i="2" s="1"/>
  <c r="I36" i="2" a="1"/>
  <c r="I36" i="2"/>
  <c r="I37" i="2" a="1"/>
  <c r="I37" i="2" s="1"/>
  <c r="I38" i="2" a="1"/>
  <c r="I38" i="2"/>
  <c r="I39" i="2" a="1"/>
  <c r="I39" i="2" s="1"/>
  <c r="I40" i="2" a="1"/>
  <c r="I40" i="2"/>
  <c r="I41" i="2" a="1"/>
  <c r="I41" i="2" s="1"/>
  <c r="I42" i="2" a="1"/>
  <c r="I42" i="2"/>
  <c r="I43" i="2" a="1"/>
  <c r="I43" i="2" s="1"/>
  <c r="I44" i="2" a="1"/>
  <c r="I44" i="2"/>
  <c r="I45" i="2" a="1"/>
  <c r="I45" i="2" s="1"/>
  <c r="I46" i="2" a="1"/>
  <c r="I46" i="2"/>
  <c r="I47" i="2" a="1"/>
  <c r="I47" i="2" s="1"/>
  <c r="I48" i="2" a="1"/>
  <c r="I48" i="2"/>
  <c r="I49" i="2" a="1"/>
  <c r="I49" i="2" s="1"/>
  <c r="I50" i="2" a="1"/>
  <c r="I50" i="2"/>
  <c r="I51" i="2" a="1"/>
  <c r="I51" i="2" s="1"/>
  <c r="I52" i="2" a="1"/>
  <c r="I52" i="2"/>
  <c r="I53" i="2" a="1"/>
  <c r="I53" i="2" s="1"/>
  <c r="I54" i="2" a="1"/>
  <c r="I54" i="2"/>
  <c r="I55" i="2" a="1"/>
  <c r="I55" i="2" s="1"/>
  <c r="I56" i="2" a="1"/>
  <c r="I56" i="2"/>
  <c r="I57" i="2" a="1"/>
  <c r="I57" i="2" s="1"/>
  <c r="I58" i="2" a="1"/>
  <c r="I58" i="2"/>
  <c r="I59" i="2" a="1"/>
  <c r="I59" i="2" s="1"/>
  <c r="I60" i="2" a="1"/>
  <c r="I60" i="2"/>
  <c r="I61" i="2" a="1"/>
  <c r="I61" i="2" s="1"/>
  <c r="I62" i="2" a="1"/>
  <c r="I62" i="2"/>
  <c r="I63" i="2" a="1"/>
  <c r="I63" i="2" s="1"/>
  <c r="I64" i="2" a="1"/>
  <c r="I64" i="2"/>
  <c r="I65" i="2" a="1"/>
  <c r="I65" i="2" s="1"/>
  <c r="I66" i="2" a="1"/>
  <c r="I66" i="2"/>
  <c r="I67" i="2" a="1"/>
  <c r="I67" i="2" s="1"/>
  <c r="I68" i="2" a="1"/>
  <c r="I68" i="2"/>
  <c r="I69" i="2" a="1"/>
  <c r="I69" i="2" s="1"/>
  <c r="I70" i="2" a="1"/>
  <c r="I70" i="2"/>
  <c r="I71" i="2" a="1"/>
  <c r="I71" i="2" s="1"/>
  <c r="I72" i="2" a="1"/>
  <c r="I72" i="2"/>
  <c r="I73" i="2" a="1"/>
  <c r="I73" i="2" s="1"/>
  <c r="I74" i="2" a="1"/>
  <c r="I74" i="2"/>
  <c r="I75" i="2" a="1"/>
  <c r="I75" i="2" s="1"/>
  <c r="I76" i="2" a="1"/>
  <c r="I76" i="2"/>
  <c r="I77" i="2" a="1"/>
  <c r="I77" i="2" s="1"/>
  <c r="I78" i="2" a="1"/>
  <c r="I78" i="2"/>
  <c r="I79" i="2" a="1"/>
  <c r="I79" i="2" s="1"/>
  <c r="I80" i="2" a="1"/>
  <c r="I80" i="2" s="1"/>
  <c r="I81" i="2" a="1"/>
  <c r="I81" i="2" s="1"/>
  <c r="I82" i="2" a="1"/>
  <c r="I82" i="2"/>
  <c r="I83" i="2" a="1"/>
  <c r="I83" i="2" s="1"/>
  <c r="I84" i="2" a="1"/>
  <c r="I84" i="2" s="1"/>
  <c r="I85" i="2" a="1"/>
  <c r="I85" i="2" s="1"/>
  <c r="I86" i="2" a="1"/>
  <c r="I86" i="2"/>
  <c r="I87" i="2" a="1"/>
  <c r="I87" i="2" s="1"/>
  <c r="I88" i="2" a="1"/>
  <c r="I88" i="2" s="1"/>
  <c r="I89" i="2" a="1"/>
  <c r="I89" i="2" s="1"/>
  <c r="I90" i="2" a="1"/>
  <c r="I90" i="2"/>
  <c r="I91" i="2" a="1"/>
  <c r="I91" i="2" s="1"/>
  <c r="I92" i="2" a="1"/>
  <c r="I92" i="2" s="1"/>
  <c r="I93" i="2" a="1"/>
  <c r="I93" i="2" s="1"/>
  <c r="I94" i="2" a="1"/>
  <c r="I94" i="2"/>
  <c r="I95" i="2" a="1"/>
  <c r="I95" i="2" s="1"/>
  <c r="I96" i="2" a="1"/>
  <c r="I96" i="2" s="1"/>
  <c r="I97" i="2" a="1"/>
  <c r="I97" i="2" s="1"/>
  <c r="I98" i="2" a="1"/>
  <c r="I98" i="2"/>
  <c r="I99" i="2" a="1"/>
  <c r="I99" i="2" s="1"/>
  <c r="I100" i="2" a="1"/>
  <c r="I100" i="2" s="1"/>
  <c r="I101" i="2" a="1"/>
  <c r="I101" i="2" s="1"/>
  <c r="I102" i="2" a="1"/>
  <c r="I102" i="2"/>
  <c r="I103" i="2" a="1"/>
  <c r="I103" i="2" s="1"/>
  <c r="I104" i="2" a="1"/>
  <c r="I104" i="2" s="1"/>
  <c r="I105" i="2" a="1"/>
  <c r="I105" i="2" s="1"/>
  <c r="I106" i="2" a="1"/>
  <c r="I106" i="2"/>
  <c r="I107" i="2" a="1"/>
  <c r="I107" i="2" s="1"/>
  <c r="I108" i="2" a="1"/>
  <c r="I108" i="2" s="1"/>
  <c r="I109" i="2" a="1"/>
  <c r="I109" i="2" s="1"/>
  <c r="I110" i="2" a="1"/>
  <c r="I110" i="2"/>
  <c r="I111" i="2" a="1"/>
  <c r="I111" i="2" s="1"/>
  <c r="I112" i="2" a="1"/>
  <c r="I112" i="2" s="1"/>
  <c r="I113" i="2" a="1"/>
  <c r="I113" i="2" s="1"/>
  <c r="I114" i="2" a="1"/>
  <c r="I114" i="2"/>
  <c r="I115" i="2" a="1"/>
  <c r="I115" i="2" s="1"/>
  <c r="I116" i="2" a="1"/>
  <c r="I116" i="2" s="1"/>
  <c r="I117" i="2" a="1"/>
  <c r="I117" i="2" s="1"/>
  <c r="I118" i="2" a="1"/>
  <c r="I118" i="2"/>
  <c r="I119" i="2" a="1"/>
  <c r="I119" i="2" s="1"/>
  <c r="I120" i="2" a="1"/>
  <c r="I120" i="2" s="1"/>
  <c r="I121" i="2" a="1"/>
  <c r="I121" i="2" s="1"/>
  <c r="I122" i="2" a="1"/>
  <c r="I122" i="2"/>
  <c r="I123" i="2" a="1"/>
  <c r="I123" i="2" s="1"/>
  <c r="I124" i="2" a="1"/>
  <c r="I124" i="2" s="1"/>
  <c r="I125" i="2" a="1"/>
  <c r="I125" i="2" s="1"/>
  <c r="I126" i="2" a="1"/>
  <c r="I126" i="2"/>
  <c r="I127" i="2" a="1"/>
  <c r="I127" i="2" s="1"/>
  <c r="I128" i="2" a="1"/>
  <c r="I128" i="2" s="1"/>
  <c r="I129" i="2" a="1"/>
  <c r="I129" i="2" s="1"/>
  <c r="I130" i="2" a="1"/>
  <c r="I130" i="2"/>
  <c r="I131" i="2" a="1"/>
  <c r="I131" i="2" s="1"/>
  <c r="I132" i="2" a="1"/>
  <c r="I132" i="2" s="1"/>
  <c r="I133" i="2" a="1"/>
  <c r="I133" i="2" s="1"/>
  <c r="I134" i="2" a="1"/>
  <c r="I134" i="2" s="1"/>
  <c r="I135" i="2" a="1"/>
  <c r="I135" i="2" s="1"/>
  <c r="I136" i="2" a="1"/>
  <c r="I136" i="2" s="1"/>
  <c r="I2" i="2" a="1"/>
  <c r="I2" i="2" s="1"/>
  <c r="N3" i="2"/>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62" i="2"/>
  <c r="N63" i="2"/>
  <c r="N64" i="2"/>
  <c r="N65" i="2"/>
  <c r="N66" i="2"/>
  <c r="N67" i="2"/>
  <c r="N68" i="2"/>
  <c r="N69" i="2"/>
  <c r="N70" i="2"/>
  <c r="N71" i="2"/>
  <c r="N72" i="2"/>
  <c r="N73" i="2"/>
  <c r="N74" i="2"/>
  <c r="N75" i="2"/>
  <c r="N76" i="2"/>
  <c r="N77" i="2"/>
  <c r="N78" i="2"/>
  <c r="N79" i="2"/>
  <c r="N80" i="2"/>
  <c r="N81" i="2"/>
  <c r="N82" i="2"/>
  <c r="N83" i="2"/>
  <c r="N84" i="2"/>
  <c r="N85" i="2"/>
  <c r="N86" i="2"/>
  <c r="N87" i="2"/>
  <c r="N88" i="2"/>
  <c r="N89" i="2"/>
  <c r="N90" i="2"/>
  <c r="N91" i="2"/>
  <c r="N92" i="2"/>
  <c r="N93" i="2"/>
  <c r="N94" i="2"/>
  <c r="N95" i="2"/>
  <c r="N96" i="2"/>
  <c r="N97" i="2"/>
  <c r="N98" i="2"/>
  <c r="N99" i="2"/>
  <c r="N100" i="2"/>
  <c r="N101" i="2"/>
  <c r="N102" i="2"/>
  <c r="N103" i="2"/>
  <c r="N104" i="2"/>
  <c r="N105" i="2"/>
  <c r="N106" i="2"/>
  <c r="N107" i="2"/>
  <c r="N108" i="2"/>
  <c r="N109" i="2"/>
  <c r="N110" i="2"/>
  <c r="N111" i="2"/>
  <c r="N112" i="2"/>
  <c r="N113" i="2"/>
  <c r="N114" i="2"/>
  <c r="N115" i="2"/>
  <c r="N116" i="2"/>
  <c r="N117" i="2"/>
  <c r="N118" i="2"/>
  <c r="N119" i="2"/>
  <c r="N120" i="2"/>
  <c r="N121" i="2"/>
  <c r="N122" i="2"/>
  <c r="N123" i="2"/>
  <c r="N124" i="2"/>
  <c r="N125" i="2"/>
  <c r="N126" i="2"/>
  <c r="N127" i="2"/>
  <c r="N128" i="2"/>
  <c r="N129" i="2"/>
  <c r="N130" i="2"/>
  <c r="N131" i="2"/>
  <c r="N132" i="2"/>
  <c r="N133" i="2"/>
  <c r="N134" i="2"/>
  <c r="N135" i="2"/>
  <c r="N136"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N2" i="2"/>
  <c r="K2"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<sst xmlns="http://schemas.openxmlformats.org/spreadsheetml/2006/main" count="621" uniqueCount="303">
  <si>
    <t>Event_ID</t>
  </si>
  <si>
    <t>Smoothed_Peak_Date</t>
  </si>
  <si>
    <t>Start_Date</t>
  </si>
  <si>
    <t>End_Date</t>
  </si>
  <si>
    <t>Top_Raw_Date_1</t>
  </si>
  <si>
    <t>Top_Raw_GPR_1</t>
  </si>
  <si>
    <t>Top_Raw_Date_2</t>
  </si>
  <si>
    <t>Top_Raw_GPR_2</t>
  </si>
  <si>
    <t>Top_Raw_Date_3</t>
  </si>
  <si>
    <t>Top_Raw_GPR_3</t>
  </si>
  <si>
    <t>Uniqueness</t>
  </si>
  <si>
    <t>Source_IDs</t>
  </si>
  <si>
    <t>event names</t>
  </si>
  <si>
    <t>GPRD_11_1</t>
  </si>
  <si>
    <t>GPRD_11_2</t>
  </si>
  <si>
    <t>GPRD_11_3</t>
  </si>
  <si>
    <t>E05</t>
  </si>
  <si>
    <t>Israel–Gaza ceasefire and post-conflict reconstruction commitments</t>
  </si>
  <si>
    <t>GPRD_11_4</t>
  </si>
  <si>
    <t>E06</t>
  </si>
  <si>
    <t>Ukraine ceasefire diplomacy and Putin's response/conditions</t>
  </si>
  <si>
    <t>GPRD_11_5</t>
  </si>
  <si>
    <t>E07</t>
  </si>
  <si>
    <t>US–Israeli war with Iran and halt to oil/gas exports through the Strait of Hormuz</t>
  </si>
  <si>
    <t>GPRD_21_1</t>
  </si>
  <si>
    <t>GPRD_21_2</t>
  </si>
  <si>
    <t>GPRD_21_3</t>
  </si>
  <si>
    <t>GPRD_21_4</t>
  </si>
  <si>
    <t>E13</t>
  </si>
  <si>
    <t>Belgorod cross-border raids by anti-Kremlin fighters</t>
  </si>
  <si>
    <t>GPRD_21_5</t>
  </si>
  <si>
    <t>GPRD_31_1</t>
  </si>
  <si>
    <t>GPRD_31_2</t>
  </si>
  <si>
    <t>GPRD_31_3</t>
  </si>
  <si>
    <t>E16</t>
  </si>
  <si>
    <t>Hamas-led attacks on Israel and the start of the Gaza war</t>
  </si>
  <si>
    <t>GPRD_31_4</t>
  </si>
  <si>
    <t>E20</t>
  </si>
  <si>
    <t>Israel–Iran war, US intervention and June ceasefire</t>
  </si>
  <si>
    <t>GPRD_31_5</t>
  </si>
  <si>
    <t>GPRD_ACT_11_1</t>
  </si>
  <si>
    <t>GPRD_ACT_11_2</t>
  </si>
  <si>
    <t>GPRD_ACT_11_3</t>
  </si>
  <si>
    <t>GPRD_ACT_11_4</t>
  </si>
  <si>
    <t>GPRD_ACT_11_5</t>
  </si>
  <si>
    <t>GPRD_ACT_21_1</t>
  </si>
  <si>
    <t>GPRD_ACT_21_2</t>
  </si>
  <si>
    <t>E21</t>
  </si>
  <si>
    <t>Battle of Aleppo and December Syria ceasefire</t>
  </si>
  <si>
    <t>GPRD_ACT_21_3</t>
  </si>
  <si>
    <t>GPRD_ACT_21_4</t>
  </si>
  <si>
    <t>GPRD_ACT_21_5</t>
  </si>
  <si>
    <t>GPRD_ACT_31_1</t>
  </si>
  <si>
    <t>GPRD_ACT_31_2</t>
  </si>
  <si>
    <t>GPRD_ACT_31_3</t>
  </si>
  <si>
    <t>GPRD_ACT_31_4</t>
  </si>
  <si>
    <t>GPRD_ACT_31_5</t>
  </si>
  <si>
    <t>GPRD_THREAT_11_1</t>
  </si>
  <si>
    <t>E26</t>
  </si>
  <si>
    <t>North Korea's announced nuclear test</t>
  </si>
  <si>
    <t>GPRD_THREAT_11_2</t>
  </si>
  <si>
    <t>GPRD_THREAT_11_3</t>
  </si>
  <si>
    <t>GPRD_THREAT_11_4</t>
  </si>
  <si>
    <t>E27</t>
  </si>
  <si>
    <t>Russia's full-scale invasion of Ukraine</t>
  </si>
  <si>
    <t>GPRD_THREAT_11_5</t>
  </si>
  <si>
    <t>GPRD_THREAT_21_1</t>
  </si>
  <si>
    <t>E28</t>
  </si>
  <si>
    <t>Russia's takeover of Crimea / Ukraine crisis</t>
  </si>
  <si>
    <t>GPRD_THREAT_21_2</t>
  </si>
  <si>
    <t>GPRD_THREAT_21_3</t>
  </si>
  <si>
    <t>GPRD_THREAT_21_4</t>
  </si>
  <si>
    <t>GPRD_THREAT_21_5</t>
  </si>
  <si>
    <t>GPRD_THREAT_31_1</t>
  </si>
  <si>
    <t>GPRD_THREAT_31_2</t>
  </si>
  <si>
    <t>GPRD_THREAT_31_3</t>
  </si>
  <si>
    <t>E36</t>
  </si>
  <si>
    <t>Nancy Pelosi's Taiwan visit and China's announced military drills</t>
  </si>
  <si>
    <t>GPRD_THREAT_31_4</t>
  </si>
  <si>
    <t>GPRD_THREAT_31_5</t>
  </si>
  <si>
    <t>Event_Start_Date</t>
  </si>
  <si>
    <t>Event_End_Date</t>
  </si>
  <si>
    <t>Raw_Rank</t>
  </si>
  <si>
    <t>Raw_Peak_Date</t>
  </si>
  <si>
    <t>Raw_GPR_Value</t>
  </si>
  <si>
    <t>Underlying_Event</t>
  </si>
  <si>
    <t>Source_ID</t>
  </si>
  <si>
    <t>Story_Break_Date</t>
  </si>
  <si>
    <t>Story_Date_Flag</t>
  </si>
  <si>
    <t>Iran nuclear deal reached in Vienna (JCPOA announcement)</t>
  </si>
  <si>
    <t>E01</t>
  </si>
  <si>
    <t>Suruç bombing and immediate Turkey–PKK/ISIS escalation</t>
  </si>
  <si>
    <t>E02</t>
  </si>
  <si>
    <t>Paris attacks and the Saint-Denis anti-terror raid</t>
  </si>
  <si>
    <t>E03</t>
  </si>
  <si>
    <t>Turkey shoots down a Russian military aircraft near the Syria border</t>
  </si>
  <si>
    <t>E04</t>
  </si>
  <si>
    <t>Islamic State attacks on Iran's parliament and Khomeini shrine</t>
  </si>
  <si>
    <t>E08</t>
  </si>
  <si>
    <t>Qatar diplomatic crisis begins as neighbouring states sever ties</t>
  </si>
  <si>
    <t>E09</t>
  </si>
  <si>
    <t>Qatar News Agency hack that preceded the Qatar diplomatic crisis</t>
  </si>
  <si>
    <t>E10</t>
  </si>
  <si>
    <t>Attacks on Saudi Aramco facilities and accusations against Iran</t>
  </si>
  <si>
    <t>E11</t>
  </si>
  <si>
    <t>Turkey's Operation Peace Spring offensive in north-eastern Syria</t>
  </si>
  <si>
    <t>E12</t>
  </si>
  <si>
    <t>Tanker attack in Dubai amid the Iran war and Strait of Hormuz disruption</t>
  </si>
  <si>
    <t>E14</t>
  </si>
  <si>
    <t>President Biden announces withdrawal of US forces from Afghanistan</t>
  </si>
  <si>
    <t>E15</t>
  </si>
  <si>
    <t>Iran's accidental downing of Ukraine International Airlines Flight PS752</t>
  </si>
  <si>
    <t>E17</t>
  </si>
  <si>
    <t>US killing of Iranian general Qassem Soleimani</t>
  </si>
  <si>
    <t>E18</t>
  </si>
  <si>
    <t>May 2021 escalation of hostilities between Israel and Gaza</t>
  </si>
  <si>
    <t>E19</t>
  </si>
  <si>
    <t>Trump–Zelensky dispute and public blame over the war in Ukraine</t>
  </si>
  <si>
    <t>E22</t>
  </si>
  <si>
    <t>Volnovakha bus shelling in eastern Ukraine</t>
  </si>
  <si>
    <t>E23</t>
  </si>
  <si>
    <t>Fighting and the fall of Donetsk airport during the Donbas conflict</t>
  </si>
  <si>
    <t>E24</t>
  </si>
  <si>
    <t>E25</t>
  </si>
  <si>
    <t>NATO Wales Summit and pledge of support to Ukraine</t>
  </si>
  <si>
    <t>E29</t>
  </si>
  <si>
    <t>Islamic State video claiming to show the killing of Steven Sotloff</t>
  </si>
  <si>
    <t>E30</t>
  </si>
  <si>
    <t>US airstrikes against ISIS targets in Iraq</t>
  </si>
  <si>
    <t>E31</t>
  </si>
  <si>
    <t>Shipping disruption continues despite the temporary US–Iran ceasefire</t>
  </si>
  <si>
    <t>E32</t>
  </si>
  <si>
    <t>US naval blockade of Iranian ports and continuing Strait of Hormuz disruption</t>
  </si>
  <si>
    <t>E33</t>
  </si>
  <si>
    <t>North Korean threat to strike Guam and Trump 'fire and fury' response</t>
  </si>
  <si>
    <t>E34</t>
  </si>
  <si>
    <t>North Korea's first successful intercontinental ballistic missile test of July 2017</t>
  </si>
  <si>
    <t>E35</t>
  </si>
  <si>
    <t>Primary_Publisher</t>
  </si>
  <si>
    <t>Primary_Publication_Date</t>
  </si>
  <si>
    <t>Primary_Source_Headline</t>
  </si>
  <si>
    <t>Primary_Source_URL</t>
  </si>
  <si>
    <t>Supporting_Publisher</t>
  </si>
  <si>
    <t>Supporting_Publication_Date</t>
  </si>
  <si>
    <t>Supporting_Source_Headline</t>
  </si>
  <si>
    <t>Supporting_Source_URL</t>
  </si>
  <si>
    <t>Peak-Date / Evidence Note</t>
  </si>
  <si>
    <t>The Guardian</t>
  </si>
  <si>
    <t>Iran nuclear deal reached in Vienna</t>
  </si>
  <si>
    <t>https://www.theguardian.com/world/2015/jul/14/iran-nuclear-deal-expected-to-be-announced-in-vienna</t>
  </si>
  <si>
    <t>The 14 July JCPOA announcement directly predates the 15 July peak. The unrelated Turkey–Syria supporting article has been removed.</t>
  </si>
  <si>
    <t>UK Government (GOV.UK)</t>
  </si>
  <si>
    <t>Foreign Secretary condemns suicide attack in Turkey</t>
  </si>
  <si>
    <t>https://www.gov.uk/government/news/foreign-secretary-condemns-suicide-attack-in-turkey</t>
  </si>
  <si>
    <t>The Foreign Secretary's statement was published on 20 July, the day of the Suruç bombing, and directly names the attack. It supports the 21–22 July aftermath without creating the earlier 15 July temporal problem.</t>
  </si>
  <si>
    <t>COBR meeting on Paris attacks and call with President Hollande: 14 November</t>
  </si>
  <si>
    <t>https://www.gov.uk/government/news/cobr-meeting-on-paris-attacks-and-call-with-president-hollande-14-november</t>
  </si>
  <si>
    <t>What do we know about the St-Denis raids?</t>
  </si>
  <si>
    <t>https://www.theguardian.com/world/2015/nov/18/what-we-know-about-st-denis-raids-paris-attacks</t>
  </si>
  <si>
    <t>The 13 November Guardian report covers the Paris attacks; the 18 November Guardian report separately covers the St-Denis raid. Both selected dates therefore have contemporaneous support.</t>
  </si>
  <si>
    <t>Shooting down of Russian jet – how the day unfolded</t>
  </si>
  <si>
    <t>https://www.theguardian.com/world/2015/nov/24/shooting-down-of-russian-jet-how-the-day-unfolded</t>
  </si>
  <si>
    <t>The selected 25 November raw peak is the immediate aftermath of the 24 November downing; do not assign the November 17–18 Paris/Saint-Denis dates to this story.</t>
  </si>
  <si>
    <t>World leaders hail Gaza-Israel ceasefire and vow to help Palestinians rebuild</t>
  </si>
  <si>
    <t>https://www.theguardian.com/world/2021/may/21/gaza-israel-ceasefire-biden-raab-guterres</t>
  </si>
  <si>
    <t>UN Office for the Coordination of Humanitarian Affairs (OCHA)</t>
  </si>
  <si>
    <t>Response to the escalation in the oPt | Situation Report No. 5 (18-24 June 2021)</t>
  </si>
  <si>
    <t>https://www.ochaopt.org/content/response-escalation-opt-situation-report-no-5-18-24-june-2021</t>
  </si>
  <si>
    <t>Ukraine agrees to 30-day ceasefire as US prepares to lift military aid restrictions</t>
  </si>
  <si>
    <t>https://www.theguardian.com/world/2025/mar/11/ukraine-agrees-to-30-day-ceasefire-as-us-prepares-to-lift-military-aid-restrictions</t>
  </si>
  <si>
    <t>Europe’s leaders react with scepticism to partial Ukraine ceasefire</t>
  </si>
  <si>
    <t>https://www.theguardian.com/world/2025/mar/19/europe-leaders-react-with-scepticism-to-partial-ukraine-ceasefire-russia-putin</t>
  </si>
  <si>
    <t>The 11 March Guardian source establishes the ceasefire proposal and the 19 March Guardian source documents the later European/Putin response. The updated regression window includes 20 February, 18 March and 19 March for the relevant ACT episode, so the February rupture should remain separate from the March diplomacy.</t>
  </si>
  <si>
    <t>US and Israel launch strikes on Iran: what we know so far</t>
  </si>
  <si>
    <t>https://www.theguardian.com/world/2026/feb/28/us-israel-launch-strikes-attack-iran-what-we-know-so-far-latest</t>
  </si>
  <si>
    <t>Iran has largely halted oil and gas exports through strait of Hormuz</t>
  </si>
  <si>
    <t>https://www.theguardian.com/world/2026/mar/03/iran-has-largely-halted-oil-and-gas-exports-through-strait-of-hormuz</t>
  </si>
  <si>
    <t>The 28 February Guardian report establishes the start of the US–Israeli strikes on Iran. The 3 March Guardian report documents the resulting Strait of Hormuz oil and gas disruption, covering the early-March peaks as the conflict develops.</t>
  </si>
  <si>
    <t>Iranian military blames Saudis after 12 killed in Tehran terrorist attack</t>
  </si>
  <si>
    <t>https://www.theguardian.com/world/2017/jun/07/shootings-iranian-parliament-khomeini-shrine</t>
  </si>
  <si>
    <t>Direct match for the 7 June top raw day; distinguish it from the Qatar crisis on 5–6 June.</t>
  </si>
  <si>
    <t>Gulf plunged into diplomatic crisis as countries cut ties with Qatar</t>
  </si>
  <si>
    <t>https://www.theguardian.com/world/2017/jun/05/saudi-arabia-and-bahrain-break-diplomatic-ties-with-qatar-over-terrorism</t>
  </si>
  <si>
    <t>Use for the 5–6 June diplomatic-break story, not for the earlier 26 May raw peak; the QNA hack is recorded separately above.</t>
  </si>
  <si>
    <t>Saudi Arabia and UAE block Qatari media over incendiary statements</t>
  </si>
  <si>
    <t>https://www.theguardian.com/world/2017/may/25/saudi-arabia-and-uae-block-qatari-media-over-incendiary-statements-iran-israel</t>
  </si>
  <si>
    <t>The Guardian (letter by Qatar Government Communications Office)</t>
  </si>
  <si>
    <t>Quotes were falsely attributed to the emir of Qatar and its foreign minister</t>
  </si>
  <si>
    <t>https://www.theguardian.com/world/2017/may/30/quotes-were-falsely-attributed-to-the-emir-of-qatar-and-its-foreign-minister</t>
  </si>
  <si>
    <t>Corrected the story-break date from 23 May to 24 May, when Qatar’s communications office said it detected the QNA hack. The 25 May article is contemporaneous; the 30 May letter gives Qatar’s account of the timing.</t>
  </si>
  <si>
    <t>Pompeo: Iran behind attack on Saudi oil facilities that will reduce kingdom's output</t>
  </si>
  <si>
    <t>https://www.theguardian.com/world/2019/sep/14/pompeo-iran-saudi-arabia-oil-yemen-houthi</t>
  </si>
  <si>
    <t>The 17 and 19 September peaks are in the immediate aftermath of the 14 September Aramco attacks; the 16 October peak should instead be evaluated against the Turkish offensive below.</t>
  </si>
  <si>
    <t>Turkey unleashes airstrikes against Kurds in north-east Syria</t>
  </si>
  <si>
    <t>https://www.theguardian.com/world/2019/oct/09/turkey-launches-military-operation-in-northern-syria-erdogan</t>
  </si>
  <si>
    <t>The 9 October Guardian report documents the start of Turkey’s offensive. The 11 and 16 October peaks fall within that continuing operation; the story had already begun, so the label does not precede the event.</t>
  </si>
  <si>
    <t>Anti-Putin militia claims to have overrun village in Russia border region of Belgorod</t>
  </si>
  <si>
    <t>https://www.theguardian.com/world/2023/may/22/anti-kremlin-militia-freedom-of-russia-legion-overrun-russian-border-village-kozinka</t>
  </si>
  <si>
    <t>Anti-Putin partisans shell Russian town four miles from Ukraine border</t>
  </si>
  <si>
    <t>https://www.theguardian.com/world/2023/jun/01/anti-putin-partisans-shell-russian-town</t>
  </si>
  <si>
    <t>The 22 May Guardian report documents the first Belgorod incursion. The 1 June Guardian report documents the later cross-border action. Both are needed because the selected peaks include 23 May, 31 May and 1 June.</t>
  </si>
  <si>
    <t>‘There’s no safe place here’: Kuwaiti tanker hit by Iranian drone attack in Dubai port</t>
  </si>
  <si>
    <t>https://www.theguardian.com/world/2026/mar/31/kuwaiti-tanker-hit-by-iranian-attack-in-dubai-port-raising-oil-spill-fears</t>
  </si>
  <si>
    <t>Replaced the generic liveblog URL with the direct Guardian report on the 31 March tanker attack, with matching headline and publication date.</t>
  </si>
  <si>
    <t>United Nations (Secretary-General briefing)</t>
  </si>
  <si>
    <t>Daily Press Briefing by the Office of the Spokesperson for the Secretary-General</t>
  </si>
  <si>
    <t>https://press.un.org/en/2021/db210414.doc.htm</t>
  </si>
  <si>
    <t>The UN briefing is dated 14 April and directly addresses the US/NATO withdrawal announcement; the unrelated TIME supporting source has been removed.</t>
  </si>
  <si>
    <t>Israel and Hamas at war after surprise attacks from Gaza Strip</t>
  </si>
  <si>
    <t>https://www.theguardian.com/world/2023/oct/07/hamas-launches-surprise-attack-on-israel-as-palestinian-gunmen-reported-in-south</t>
  </si>
  <si>
    <t>Hostilities in the Gaza Strip and Israel | Flash Update #13</t>
  </si>
  <si>
    <t>https://www.ochaopt.org/content/hostilities-gaza-strip-and-israel-flash-update-13</t>
  </si>
  <si>
    <t>Changed the primary citation to same-day reporting on the 7 October start of the war. The 19 October OCHA update is retained as official evidence that hostilities were ongoing during the later raw-peak dates.</t>
  </si>
  <si>
    <t>Iran crash: plane shot down by accident, western officials believe</t>
  </si>
  <si>
    <t>https://www.theguardian.com/world/2020/jan/09/tehran-crash-plane-downed-by-iranian-missile-western-officials-believe</t>
  </si>
  <si>
    <t>Iran admits shooting down Ukrainian airliner unintentionally</t>
  </si>
  <si>
    <t>https://www.theguardian.com/world/2020/jan/11/iran-admits-shooting-down-ukrainian-airliner-unintentionally</t>
  </si>
  <si>
    <t>Primary source changed to reporting published on 9 January about the crash and early investigation, which better matches the 9–10 January raw peaks. The 11 January admission is retained as later confirmation, not as the source for the earlier observations.</t>
  </si>
  <si>
    <t>Iran: UK responds to US airstrike on military commander in Iraq</t>
  </si>
  <si>
    <t>https://www.gov.uk/government/news/iran-uk-responds-to-us-airstrike-on-military-commander-in-iraq</t>
  </si>
  <si>
    <t>The Foreign and Commonwealth Office statement was published on 3 January and directly addresses the US airstrike that killed Qasem Soleimani. It is a stronger official-source choice than the Guardian article and fits Henco's requested source mix.</t>
  </si>
  <si>
    <t>Gaza Strip: Escalation of hostilities 10–21 May 2021</t>
  </si>
  <si>
    <t>https://www.ochaopt.org/content/gaza-strip-escalation-hostilities-10-21-may-2021</t>
  </si>
  <si>
    <t>Israel launches airstrikes on Gaza Strip after Hamas rocket attacks</t>
  </si>
  <si>
    <t>https://www.theguardian.com/world/2021/may/10/hamas-fires-rockets-into-israel-in-dispute-over-jerusalem-mosque</t>
  </si>
  <si>
    <t>Official OCHA source reports the hostilities over 10–21 May and was published after that reporting period. The additional Guardian report is contemporaneous with the 10 May escalation.</t>
  </si>
  <si>
    <t>United Nations Security Council (meeting coverage)</t>
  </si>
  <si>
    <t>Meeting in Wake of Israeli Air Strikes on Iran, Delegates in Security Council Urge De-escalation, Diplomacy to Prevent Further Strain in Conflict-Ridden Region</t>
  </si>
  <si>
    <t>https://press.un.org/en/2025/sc16087.doc.htm</t>
  </si>
  <si>
    <t>Ceasefire, strikes and fury from Trump: chaotic 24 hours in Israel-Iran war</t>
  </si>
  <si>
    <t>https://www.theguardian.com/world/2025/jun/24/chaotic-24-hours-in-israel-iran-war</t>
  </si>
  <si>
    <t>The UN Security Council source establishes the 13 June start of the Israel–Iran war. The 24 June Guardian report documents the ceasefire developments during the later phase of the conflict. The 18, 24 and 25 June peaks are therefore covered without using a Times of Israel source.</t>
  </si>
  <si>
    <t>Aleppo: Russia-Turkey ceasefire deal offers hope of survival for residents</t>
  </si>
  <si>
    <t>https://www.theguardian.com/world/2016/dec/13/deal-reached-to-evacuate-rebels-and-civilians-from-aleppo</t>
  </si>
  <si>
    <t>Syria ceasefire holds as Russia and Turkey seek UN support</t>
  </si>
  <si>
    <t>https://www.theguardian.com/world/2016/dec/30/syria-ceasefire-remains-intact-despite-apparent-government-violations</t>
  </si>
  <si>
    <t>The 13 December Guardian report covers the eastern Aleppo evacuation crisis; the 30 December Guardian report directly covers the nationwide Syria ceasefire. Both linked December developments are retained under this existing source entry.</t>
  </si>
  <si>
    <t>Trump blames Ukraine over war with Russia, saying it could have made a deal</t>
  </si>
  <si>
    <t>https://www.theguardian.com/world/2025/feb/19/trump-ukraine-war-russia-could-have-made-a-deal</t>
  </si>
  <si>
    <t>The 20 February raw peak should not be labelled as March ceasefire talks; this was a distinct and earlier US–Ukraine diplomatic rupture.</t>
  </si>
  <si>
    <t>United Nations (Security Council)</t>
  </si>
  <si>
    <t>Security Council Press Statement on Killing of Bus Passengers in Donetsk Region, Ukraine</t>
  </si>
  <si>
    <t>https://press.un.org/en/2015/sc11733.doc.htm</t>
  </si>
  <si>
    <t>The UN Security Council statement was issued on 13 January, the day of the Volnovakha bus shelling, and directly identifies the incident and casualties. It is stronger for the final source set than the OSCE report published the following day.</t>
  </si>
  <si>
    <t>Russia-backed separatists seize Donetsk airport in Ukraine</t>
  </si>
  <si>
    <t>https://www.theguardian.com/world/2015/jan/15/russian-backed-separatists-seize-donetsk-airport-ukraine</t>
  </si>
  <si>
    <t>The Guardian article is hosted and published by The Guardian, although the report is credited to the Associated Press. The 15–16 January raw peaks fall on reporting of the airport's fall and continuing fighting; this remains separate from the Volnovakha bus attack.</t>
  </si>
  <si>
    <t>India–Pakistan escalation from Pulwama through the Balakot airstrike</t>
  </si>
  <si>
    <t>Dozens of Indian paramilitaries killed in Kashmir car bombing</t>
  </si>
  <si>
    <t>https://www.theguardian.com/world/2019/feb/14/indian-paramilitaries-killed-in-suicide-car-bombing-in-kashmir</t>
  </si>
  <si>
    <t>Kashmir's fog of war: how conflicting accounts benefit both sides</t>
  </si>
  <si>
    <t>https://www.theguardian.com/world/2019/mar/05/kashmir-fog-of-war-how-conflicting-accounts-benefit-india-pakistan</t>
  </si>
  <si>
    <t>Comprehensive Nuclear-Test-Ban Treaty Organization (CTBTO)</t>
  </si>
  <si>
    <t>CTBTO Executive Secretary Lassina Zerbo on the unusual seismic event detected in the Democratic People's Republic of Korea on 06 January 2016</t>
  </si>
  <si>
    <t>https://www.ctbto.org/resources/for-the-media/press-releases/ctbto-executive-secretary-lassina-zerbo-unusual-seismic</t>
  </si>
  <si>
    <t>United Nations Secretary-General (UN press release)</t>
  </si>
  <si>
    <t>Secretary-General, in Statement on Ukraine, Calls Russian Federation’s Military Offensive ‘Wrong, against Charter, Unacceptable, But Not Irreversible’</t>
  </si>
  <si>
    <t>https://press.un.org/en/2022/sgsm21158.doc.htm</t>
  </si>
  <si>
    <t>Corrected the shortened headline to the exact official UN title. The statement is dated 24 February, the day of the full-scale invasion.</t>
  </si>
  <si>
    <t>Ukraine crisis: Kerry says Russia 'hiding hand behind falsehoods'</t>
  </si>
  <si>
    <t>https://www.theguardian.com/world/2014/mar/04/ukraine-crisis-shots-fired-crimea-airbase</t>
  </si>
  <si>
    <t>Putin signs treaty to annex Crimea as Ukraine authorises use of force</t>
  </si>
  <si>
    <t>https://www.theguardian.com/world/2014/mar/18/ukraine-crisis-putin-plan-crimea-annex-speech-russia-live</t>
  </si>
  <si>
    <t>The 4–5 March peaks are covered by same-day Guardian reporting on Russian control of Crimea; the 18 March peak is covered by same-day Guardian reporting on Putin’s annexation announcement.</t>
  </si>
  <si>
    <t>NATO Summit Wales 2014 - as it happened</t>
  </si>
  <si>
    <t>https://www.gov.uk/government/news/nato-summit-wales-2014-live</t>
  </si>
  <si>
    <t>Official UK government live coverage was published on 3 September and records the 4 September day-one announcements, including leaders pledging strong support for Ukraine. This is preferable to the NATO-hosted source because it matches Henco's requested source set while directly documenting the 4 September event.</t>
  </si>
  <si>
    <t>Steven Sotloff: Isis video claims to show beheading of US journalist</t>
  </si>
  <si>
    <t>https://www.theguardian.com/world/2014/sep/02/isis-video-steven-sotloff-beheading</t>
  </si>
  <si>
    <t>The selected 2 September raw day corresponds to the Sotloff video, not the James Foley killing in August.</t>
  </si>
  <si>
    <t>US begins air strikes against Isis targets in Iraq, Pentagon says</t>
  </si>
  <si>
    <t>https://www.theguardian.com/world/2014/aug/08/us-begins-air-strikes-iraq-isis</t>
  </si>
  <si>
    <t>Direct same-day match for the selected 8 August raw-GPR observation; this replaces the old Russian aid-convoy label for that day.</t>
  </si>
  <si>
    <t>Ceasefire changes little for shipping in strait of Hormuz, experts say</t>
  </si>
  <si>
    <t>https://www.theguardian.com/world/2026/apr/08/us-iran-ceasefire-mass-exodus-ships-strait-hormuz-analysts</t>
  </si>
  <si>
    <t>Published on 8 April and directly discusses persistent shipping disruption; relevant to the 9 April raw peak.</t>
  </si>
  <si>
    <t>US starts naval blockade of Iranian ports after deadline passes</t>
  </si>
  <si>
    <t>https://www.theguardian.com/world/2026/apr/13/deadline-passes-for-us-blockade-on-ships-using-iranian-ports-to-begin</t>
  </si>
  <si>
    <t>Middle East crisis live: Hezbollah urges Lebanon to pull out of talks with Israel; blockade of strait of Hormuz begins</t>
  </si>
  <si>
    <t>https://www.theguardian.com/world/live/2026/apr/14/middle-east-crisis-live-hezbollah-urges-lebanon-to-pull-out-of-talks-with-israel-blockade-of-strait-of-hormuz-begins</t>
  </si>
  <si>
    <t>US airbase in Guam threatened by North Korea as Trump promises 'fire and fury'</t>
  </si>
  <si>
    <t>https://www.theguardian.com/world/2017/aug/09/north-korea-us-airbase-guam-trump-fire-fury</t>
  </si>
  <si>
    <t>North Korea details Guam strike plan and calls Trump 'bereft of reason'</t>
  </si>
  <si>
    <t>https://www.theguardian.com/world/2017/aug/10/north-korea-details-guam-strike-trump-load-of-nonsense</t>
  </si>
  <si>
    <t>North Korea claims successful test of intercontinental ballistic missile</t>
  </si>
  <si>
    <t>https://www.theguardian.com/world/2017/jul/04/north-korea-launches-ballistic-missile-japans-defence-ministry-says</t>
  </si>
  <si>
    <t>The 5–6 July raw peaks follow the ICBM launch. The 10 August selected peak is a distinct later Guam-threat story and should not be labelled as the July test.</t>
  </si>
  <si>
    <t>Nancy Pelosi arrives in Taiwan as China puts military on high alert</t>
  </si>
  <si>
    <t>https://www.theguardian.com/world/2022/aug/02/nancy-pelosi-lands-in-taiwan-amid-soaring-tensions-with-china</t>
  </si>
  <si>
    <t>The 2–4 August raw peaks correspond to Pelosi's visit and China's military response, not the July 2022 Vinnytsia missile strike.</t>
  </si>
  <si>
    <t>News_Start_Date</t>
  </si>
  <si>
    <t>News_End_Date</t>
  </si>
  <si>
    <t>Regression_Window_Flag</t>
  </si>
  <si>
    <t>Ardern says she will not speak Christchurch suspect's name</t>
  </si>
  <si>
    <t>E37</t>
  </si>
  <si>
    <t>The 21 May Guardian report documents the ceasefire and immediate reconstruction commitment. The page reports first publication at 23:29 EDT on 20 May, equivalent to 04:29 BST on 21 May; the publication date recorded here matches the URL/UK calendar date. The OCHA situation report covers 18–24 June and confirms that the ceasefire was largely holding during the 22 June peak.</t>
  </si>
  <si>
    <t>The 14 February Guardian article establishes the episode before the 15 February peak. The 5 March Guardian follow-up covers the 26 February Balakot airstrikes and continuing India–Pakistan confrontation. I did not find a Guardian article published on 19 March 2019 among the sources checked, so that later peak is supported by the broader ongoing-crisis label rather than a same-day Guardian citation.</t>
  </si>
  <si>
    <t>The CTBTO press release is dated 6 January and reports detection at 01:30 UTC. That is 20:30 EST on 5 January, which explains why a raw GPR peak can appear on 5 January while the official source date is 6 January. The one-day difference is within the audit's allowed tolerance; later selected peaks are also covered by the same test story.</t>
  </si>
  <si>
    <t>The primary Guardian article documents the blockade start on 13 April. The supporting liveblog URL uses 14 April; its first-publication timestamp is 21:29 EDT on 13 April, equivalent to 02:29 BST on 14 April. The supporting publication date is recorded as 14 April to match the URL/UK date convention.</t>
  </si>
  <si>
    <t>The article page records first publication at 23:51 EDT on 8 August 2017, equivalent to 04:51 BST on 9 August. The publication date in the table follows the URL/UK calendar date (9 August); the story itself broke on 8 August in the US. The 10 August article provides follow-up.</t>
  </si>
  <si>
    <t>Ardern says she will never speak name of Christchurch suspect</t>
  </si>
  <si>
    <t>https://www.theguardian.com/world/2019/mar/19/new-zealand-shooting-ardern-says-she-will-never-speak-suspects-name</t>
  </si>
  <si>
    <t>Assigned only to the 19 March 2019 raw peak in GPRD_ACT_31_4. The 15 and 28 February raw peaks remain assigned to E25 (India–Pakistan escalation). The 31-day peak-centred window contains evidence of more than one event.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</si>
</sst>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6">
    <font>
      <sz val="11"/>
      <color theme="1"/>
      <name val="Aptos Narrow"/>
    </font>
    <font>
      <b/>
      <sz val="11"/>
      <color rgb="FFFFFFFF"/>
      <name val="Carlito"/>
    </font>
    <font>
      <sz val="11"/>
      <color rgb="FF000000"/>
      <name val="Calibri"/>
      <family val="2"/>
    </font>
    <font>
      <sz val="11"/>
      <color rgb="FF000000"/>
      <name val="Aptos Narrow"/>
      <family val="2"/>
    </font>
    <font>
      <b/>
      <sz val="11"/>
      <color rgb="FFFFFFFF"/>
      <name val="Calibri"/>
      <family val="2"/>
    </font>
    <font>
      <sz val="11"/>
      <color theme="1"/>
      <name val="Aptos Narrow"/>
      <family val="2"/>
    </font>
  </fonts>
  <fills count="6">
    <fill>
      <patternFill patternType="none"/>
    </fill>
    <fill>
      <patternFill patternType="gray125"/>
    </fill>
    <fill>
      <patternFill patternType="solid">
        <fgColor rgb="FF1F4E78"/>
      </patternFill>
    </fill>
    <fill>
      <patternFill patternType="solid">
        <fgColor rgb="FF1F4E78"/>
      </patternFill>
    </fill>
    <fill>
      <patternFill patternType="solid">
        <fgColor rgb="FF1F4E78"/>
      </patternFill>
    </fill>
    <fill>
      <patternFill patternType="solid">
        <fgColor rgb="FF1F4E78"/>
      </patternFill>
    </fill>
  </fills>
  <borders count="13">
    <border>
      <left/>
      <right/>
      <top/>
      <bottom/>
      <diagonal/>
    </border>
    <border>
      <left/>
      <right/>
      <top style="thin">
        <color rgb="FFD9E2F3"/>
      </top>
      <bottom style="thin">
        <color rgb="FFD9E2F3"/>
      </bottom>
      <diagonal/>
    </border>
    <border>
      <left/>
      <right/>
      <top style="thin">
        <color rgb="FFD9E2F3"/>
      </top>
      <bottom/>
      <diagonal/>
    </border>
    <border>
      <left/>
      <right/>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style="thin">
        <color rgb="FFD9E2F3"/>
      </bottom>
      <diagonal/>
    </border>
    <border>
      <left style="thin">
        <color rgb="FFD9E2F3"/>
      </left>
      <right/>
      <top style="thin">
        <color rgb="FFD9E2F3"/>
      </top>
      <bottom/>
      <diagonal/>
    </border>
    <border>
      <left style="thin">
        <color rgb="FFD9E2F3"/>
      </left>
      <right/>
      <top/>
      <bottom/>
      <diagonal/>
    </border>
    <border>
      <left style="thin">
        <color rgb="FFD9E2F3"/>
      </left>
      <right/>
      <top/>
      <bottom style="thin">
        <color rgb="FFD9E2F3"/>
      </bottom>
      <diagonal/>
    </border>
    <border>
      <left/>
      <right/>
      <top/>
      <bottom style="medium">
        <color rgb="FFB7B7B7"/>
      </bottom>
      <diagonal/>
    </border>
    <border>
      <left/>
      <right/>
      <top style="medium">
        <color rgb="FFD9E2F3"/>
      </top>
      <bottom style="medium">
        <color rgb="FFD9E2F3"/>
      </bottom>
      <diagonal/>
    </border>
    <border>
      <left/>
      <right/>
      <top style="medium">
        <color rgb="FFD9E2F3"/>
      </top>
      <bottom/>
      <diagonal/>
    </border>
    <border>
      <left/>
      <right/>
      <top/>
      <bottom style="medium">
        <color rgb="FFD9E2F3"/>
      </bottom>
      <diagonal/>
    </border>
  </borders>
  <cellStyleXfs count="2">
    <xf numFmtId="0" fontId="0" fillId="0" borderId="0"/>
    <xf numFmtId="0" fontId="5" fillId="0" borderId="0"/>
  </cellStyleXfs>
  <cellXfs count="28">
    <xf numFmtId="0" fontId="0" fillId="0" borderId="0" xfId="0"/>
    <xf numFmtId="0" fontId="1" fillId="2" borderId="1" xfId="0" applyFont="1" applyFill="1" applyBorder="1" applyAlignment="1">
      <alignment horizontal="center" vertical="center" wrapText="1"/>
    </xf>
    <xf numFmtId="0" fontId="0" fillId="0" borderId="2" xfId="0" applyBorder="1" applyAlignment="1">
      <alignment vertical="top" wrapText="1"/>
    </xf>
    <xf numFmtId="164" fontId="0" fillId="0" borderId="2" xfId="0" applyNumberFormat="1" applyBorder="1" applyAlignment="1">
      <alignment vertical="top" wrapText="1"/>
    </xf>
    <xf numFmtId="0" fontId="0" fillId="0" borderId="0" xfId="0" applyAlignment="1">
      <alignment vertical="top" wrapText="1"/>
    </xf>
    <xf numFmtId="164" fontId="0" fillId="0" borderId="0" xfId="0" applyNumberFormat="1" applyAlignment="1">
      <alignment vertical="top" wrapText="1"/>
    </xf>
    <xf numFmtId="0" fontId="0" fillId="0" borderId="3" xfId="0" applyBorder="1" applyAlignment="1">
      <alignment vertical="top" wrapText="1"/>
    </xf>
    <xf numFmtId="164" fontId="0" fillId="0" borderId="3" xfId="0" applyNumberFormat="1" applyBorder="1" applyAlignment="1">
      <alignment vertical="top" wrapText="1"/>
    </xf>
    <xf numFmtId="0" fontId="1" fillId="2" borderId="4"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0" fillId="0" borderId="6" xfId="0" applyBorder="1" applyAlignment="1">
      <alignment vertical="top" wrapText="1"/>
    </xf>
    <xf numFmtId="0" fontId="0" fillId="0" borderId="7" xfId="0" applyBorder="1" applyAlignment="1">
      <alignment vertical="top" wrapText="1"/>
    </xf>
    <xf numFmtId="0" fontId="0" fillId="0" borderId="8" xfId="0" applyBorder="1" applyAlignment="1">
      <alignment vertical="top" wrapText="1"/>
    </xf>
    <xf numFmtId="0" fontId="1" fillId="3" borderId="10" xfId="0" applyFont="1" applyFill="1" applyBorder="1" applyAlignment="1">
      <alignment horizontal="center" vertical="center" wrapText="1"/>
    </xf>
    <xf numFmtId="0" fontId="3" fillId="0" borderId="11" xfId="0" applyFont="1" applyBorder="1" applyAlignment="1">
      <alignment vertical="top" wrapText="1"/>
    </xf>
    <xf numFmtId="0" fontId="3" fillId="0" borderId="0" xfId="0" applyFont="1" applyAlignment="1">
      <alignment vertical="top" wrapText="1"/>
    </xf>
    <xf numFmtId="0" fontId="3" fillId="0" borderId="12" xfId="0" applyFont="1" applyBorder="1" applyAlignment="1">
      <alignment vertical="top" wrapText="1"/>
    </xf>
    <xf numFmtId="0" fontId="3" fillId="0" borderId="0" xfId="0" applyFont="1"/>
    <xf numFmtId="164" fontId="3" fillId="0" borderId="0" xfId="0" applyNumberFormat="1" applyFont="1"/>
    <xf numFmtId="0" fontId="1" fillId="4" borderId="5" xfId="0" applyFont="1" applyFill="1" applyBorder="1" applyAlignment="1">
      <alignment horizontal="center" vertical="center" wrapText="1"/>
    </xf>
    <xf numFmtId="164" fontId="0" fillId="0" borderId="0" xfId="0" applyNumberFormat="1"/>
    <xf numFmtId="0" fontId="1" fillId="5" borderId="0" xfId="0" applyFont="1" applyFill="1" applyAlignment="1">
      <alignment horizontal="center" vertical="center" wrapText="1"/>
    </xf>
    <xf numFmtId="0" fontId="5" fillId="0" borderId="0" xfId="1"/>
    <xf numFmtId="0" fontId="2" fillId="0" borderId="0" xfId="1" applyFont="1" applyAlignment="1">
      <alignment vertical="top" wrapText="1"/>
    </xf>
    <xf numFmtId="164" fontId="2" fillId="0" borderId="0" xfId="1" applyNumberFormat="1" applyFont="1" applyAlignment="1">
      <alignment vertical="top" wrapText="1"/>
    </xf>
    <xf numFmtId="0" fontId="4" fillId="5" borderId="9" xfId="1" applyFont="1" applyFill="1" applyBorder="1" applyAlignment="1">
      <alignment horizontal="center" vertical="center" wrapText="1"/>
    </xf>
    <xf numFmtId="164" fontId="5" fillId="0" borderId="0" xfId="1" applyNumberFormat="1"/>
    <xf numFmtId="0" fontId="5" fillId="0" borderId="0" xfId="1" applyAlignment="1">
      <alignment wrapText="1"/>
    </xf>
  </cellXfs>
  <cellStyles count="2">
    <cellStyle name="Normal" xfId="0" builtinId="0"/>
    <cellStyle name="Normal 2" xfId="1" xr:uid="{E8423090-BD3F-41FC-BB24-9D01F52E6FC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topLeftCell="E1" workbookViewId="0">
      <selection activeCell="N4" sqref="N4"/>
    </sheetView>
  </sheetViews>
  <sheetFormatPr defaultRowHeight="14.4"/>
  <cols>
    <col min="2" max="5" width="10.33203125" customWidth="1"/>
    <col min="7" max="7" width="10.33203125" customWidth="1"/>
    <col min="8" max="8" width="11.5546875" customWidth="1"/>
    <col min="9" max="9" width="10.33203125" customWidth="1"/>
    <col min="11" max="11" width="12.33203125" customWidth="1"/>
    <col min="12" max="12" width="11.44140625" customWidth="1"/>
    <col min="13" max="13" width="89" customWidth="1"/>
  </cols>
  <sheetData>
    <row r="1" spans="1:13" ht="41.4">
      <c r="A1" s="1" t="s">
        <v>0</v>
      </c>
      <c r="B1" s="1" t="s">
        <v>1</v>
      </c>
      <c r="C1" s="1" t="s">
        <v>2</v>
      </c>
      <c r="D1" s="1" t="s">
        <v>3</v>
      </c>
      <c r="E1" s="1" t="s">
        <v>4</v>
      </c>
      <c r="F1" s="1" t="s">
        <v>5</v>
      </c>
      <c r="G1" s="1" t="s">
        <v>6</v>
      </c>
      <c r="H1" s="1" t="s">
        <v>7</v>
      </c>
      <c r="I1" s="1" t="s">
        <v>8</v>
      </c>
      <c r="J1" s="1" t="s">
        <v>9</v>
      </c>
      <c r="K1" s="1" t="s">
        <v>10</v>
      </c>
      <c r="L1" s="1" t="s">
        <v>11</v>
      </c>
      <c r="M1" s="1" t="s">
        <v>12</v>
      </c>
    </row>
    <row r="2" spans="1:13" ht="28.8">
      <c r="A2" s="2" t="s">
        <v>13</v>
      </c>
      <c r="B2" s="3">
        <v>42207</v>
      </c>
      <c r="C2" s="3">
        <v>42192</v>
      </c>
      <c r="D2" s="3">
        <v>42212</v>
      </c>
      <c r="E2" s="3">
        <v>42200</v>
      </c>
      <c r="F2" s="2">
        <v>229.97799682617199</v>
      </c>
      <c r="G2" s="3">
        <v>42206</v>
      </c>
      <c r="H2" s="2">
        <v>193.97918701171901</v>
      </c>
      <c r="I2" s="3">
        <v>42207</v>
      </c>
      <c r="J2" s="2">
        <v>152.95497131347699</v>
      </c>
      <c r="K2" cm="1">
        <f t="array" ref="K2">ROWS(_xlfn.UNIQUE(_xlfn._xlws.FILTER('135 Raw Peak Audit'!$G$2:$G$136,('135 Raw Peak Audit'!$A$2:$A$136=$A2)*('135 Raw Peak Audit'!$G$2:$G$136&lt;&gt;""))))</f>
        <v>2</v>
      </c>
      <c r="L2" t="str" cm="1">
        <f t="array" ref="L2">_xlfn.TEXTJOIN("; ",TRUE,_xlfn.UNIQUE(_xlfn._xlws.FILTER('135 Raw Peak Audit'!$I$2:$I$136,('135 Raw Peak Audit'!$A$2:$A$136=$A2)*('135 Raw Peak Audit'!$I$2:$I$136&lt;&gt;""))))</f>
        <v>E01; E02</v>
      </c>
      <c r="M2" t="str" cm="1">
        <f t="array" ref="M2">_xlfn.TEXTJOIN("; ",TRUE,_xlfn.UNIQUE(_xlfn._xlws.FILTER('135 Raw Peak Audit'!$G$2:$G$136,('135 Raw Peak Audit'!$A$2:$A$136=$A2)*('135 Raw Peak Audit'!$G$2:$G$136&lt;&gt;""))))</f>
        <v>Iran nuclear deal reached in Vienna (JCPOA announcement); Suruç bombing and immediate Turkey–PKK/ISIS escalation</v>
      </c>
    </row>
    <row r="3" spans="1:13" ht="28.8">
      <c r="A3" s="4" t="s">
        <v>14</v>
      </c>
      <c r="B3" s="5">
        <v>42331</v>
      </c>
      <c r="C3" s="5">
        <v>42314</v>
      </c>
      <c r="D3" s="5">
        <v>42338</v>
      </c>
      <c r="E3" s="5">
        <v>42325</v>
      </c>
      <c r="F3" s="4">
        <v>354.05187988281199</v>
      </c>
      <c r="G3" s="5">
        <v>42326</v>
      </c>
      <c r="H3" s="4">
        <v>309.495361328125</v>
      </c>
      <c r="I3" s="5">
        <v>42333</v>
      </c>
      <c r="J3" s="4">
        <v>247.6171875</v>
      </c>
      <c r="K3" cm="1">
        <f t="array" ref="K3">ROWS(_xlfn.UNIQUE(_xlfn._xlws.FILTER('135 Raw Peak Audit'!$G$2:$G$136,('135 Raw Peak Audit'!$A$2:$A$136=$A3)*('135 Raw Peak Audit'!$G$2:$G$136&lt;&gt;""))))</f>
        <v>2</v>
      </c>
      <c r="L3" t="str" cm="1">
        <f t="array" ref="L3">_xlfn.TEXTJOIN("; ",TRUE,_xlfn.UNIQUE(_xlfn._xlws.FILTER('135 Raw Peak Audit'!$I$2:$I$136,('135 Raw Peak Audit'!$A$2:$A$136=$A3)*('135 Raw Peak Audit'!$I$2:$I$136&lt;&gt;""))))</f>
        <v>E03; E04</v>
      </c>
      <c r="M3" t="str" cm="1">
        <f t="array" ref="M3">_xlfn.TEXTJOIN("; ",TRUE,_xlfn.UNIQUE(_xlfn._xlws.FILTER('135 Raw Peak Audit'!$G$2:$G$136,('135 Raw Peak Audit'!$A$2:$A$136=$A3)*('135 Raw Peak Audit'!$G$2:$G$136&lt;&gt;""))))</f>
        <v>Paris attacks and the Saint-Denis anti-terror raid; Turkey shoots down a Russian military aircraft near the Syria border</v>
      </c>
    </row>
    <row r="4" spans="1:13" ht="28.8">
      <c r="A4" s="4" t="s">
        <v>15</v>
      </c>
      <c r="B4" s="5">
        <v>44336</v>
      </c>
      <c r="C4" s="5">
        <v>44320</v>
      </c>
      <c r="D4" s="5">
        <v>44354</v>
      </c>
      <c r="E4" s="5">
        <v>44342</v>
      </c>
      <c r="F4" s="4">
        <v>176.61283874511699</v>
      </c>
      <c r="G4" s="5">
        <v>44341</v>
      </c>
      <c r="H4" s="4">
        <v>170.94143676757801</v>
      </c>
      <c r="I4" s="5">
        <v>44337</v>
      </c>
      <c r="J4" s="4">
        <v>165.85250854492199</v>
      </c>
      <c r="K4" cm="1">
        <f t="array" ref="K4">ROWS(_xlfn.UNIQUE(_xlfn._xlws.FILTER('135 Raw Peak Audit'!$G$2:$G$136,('135 Raw Peak Audit'!$A$2:$A$136=$A4)*('135 Raw Peak Audit'!$G$2:$G$136&lt;&gt;""))))</f>
        <v>1</v>
      </c>
      <c r="L4" t="str" cm="1">
        <f t="array" ref="L4">_xlfn.TEXTJOIN("; ",TRUE,_xlfn.UNIQUE(_xlfn._xlws.FILTER('135 Raw Peak Audit'!$I$2:$I$136,('135 Raw Peak Audit'!$A$2:$A$136=$A4)*('135 Raw Peak Audit'!$I$2:$I$136&lt;&gt;""))))</f>
        <v>E05</v>
      </c>
      <c r="M4" t="str" cm="1">
        <f t="array" ref="M4">_xlfn.TEXTJOIN("; ",TRUE,_xlfn.UNIQUE(_xlfn._xlws.FILTER('135 Raw Peak Audit'!$G$2:$G$136,('135 Raw Peak Audit'!$A$2:$A$136=$A4)*('135 Raw Peak Audit'!$G$2:$G$136&lt;&gt;""))))</f>
        <v>Israel–Gaza ceasefire and post-conflict reconstruction commitments</v>
      </c>
    </row>
    <row r="5" spans="1:13" ht="28.8">
      <c r="A5" s="4" t="s">
        <v>18</v>
      </c>
      <c r="B5" s="5">
        <v>45729</v>
      </c>
      <c r="C5" s="5">
        <v>45719</v>
      </c>
      <c r="D5" s="5">
        <v>45747</v>
      </c>
      <c r="E5" s="5">
        <v>45735</v>
      </c>
      <c r="F5" s="4">
        <v>275.09213256835898</v>
      </c>
      <c r="G5" s="5">
        <v>45729</v>
      </c>
      <c r="H5" s="4">
        <v>254.812911987305</v>
      </c>
      <c r="I5" s="5">
        <v>45736</v>
      </c>
      <c r="J5" s="4">
        <v>246.20436096191401</v>
      </c>
      <c r="K5" cm="1">
        <f t="array" ref="K5">ROWS(_xlfn.UNIQUE(_xlfn._xlws.FILTER('135 Raw Peak Audit'!$G$2:$G$136,('135 Raw Peak Audit'!$A$2:$A$136=$A5)*('135 Raw Peak Audit'!$G$2:$G$136&lt;&gt;""))))</f>
        <v>1</v>
      </c>
      <c r="L5" t="str" cm="1">
        <f t="array" ref="L5">_xlfn.TEXTJOIN("; ",TRUE,_xlfn.UNIQUE(_xlfn._xlws.FILTER('135 Raw Peak Audit'!$I$2:$I$136,('135 Raw Peak Audit'!$A$2:$A$136=$A5)*('135 Raw Peak Audit'!$I$2:$I$136&lt;&gt;""))))</f>
        <v>E06</v>
      </c>
      <c r="M5" t="str" cm="1">
        <f t="array" ref="M5">_xlfn.TEXTJOIN("; ",TRUE,_xlfn.UNIQUE(_xlfn._xlws.FILTER('135 Raw Peak Audit'!$G$2:$G$136,('135 Raw Peak Audit'!$A$2:$A$136=$A5)*('135 Raw Peak Audit'!$G$2:$G$136&lt;&gt;""))))</f>
        <v>Ukraine ceasefire diplomacy and Putin's response/conditions</v>
      </c>
    </row>
    <row r="6" spans="1:13" ht="28.8">
      <c r="A6" s="4" t="s">
        <v>21</v>
      </c>
      <c r="B6" s="5">
        <v>46091</v>
      </c>
      <c r="C6" s="5">
        <v>46069</v>
      </c>
      <c r="D6" s="5">
        <v>46097</v>
      </c>
      <c r="E6" s="5">
        <v>46085</v>
      </c>
      <c r="F6" s="4">
        <v>465.91864013671898</v>
      </c>
      <c r="G6" s="5">
        <v>46091</v>
      </c>
      <c r="H6" s="4">
        <v>457.110595703125</v>
      </c>
      <c r="I6" s="5">
        <v>46086</v>
      </c>
      <c r="J6" s="4">
        <v>413.36315917968801</v>
      </c>
      <c r="K6" cm="1">
        <f t="array" ref="K6">ROWS(_xlfn.UNIQUE(_xlfn._xlws.FILTER('135 Raw Peak Audit'!$G$2:$G$136,('135 Raw Peak Audit'!$A$2:$A$136=$A6)*('135 Raw Peak Audit'!$G$2:$G$136&lt;&gt;""))))</f>
        <v>1</v>
      </c>
      <c r="L6" t="str" cm="1">
        <f t="array" ref="L6">_xlfn.TEXTJOIN("; ",TRUE,_xlfn.UNIQUE(_xlfn._xlws.FILTER('135 Raw Peak Audit'!$I$2:$I$136,('135 Raw Peak Audit'!$A$2:$A$136=$A6)*('135 Raw Peak Audit'!$I$2:$I$136&lt;&gt;""))))</f>
        <v>E07</v>
      </c>
      <c r="M6" t="str" cm="1">
        <f t="array" ref="M6">_xlfn.TEXTJOIN("; ",TRUE,_xlfn.UNIQUE(_xlfn._xlws.FILTER('135 Raw Peak Audit'!$G$2:$G$136,('135 Raw Peak Audit'!$A$2:$A$136=$A6)*('135 Raw Peak Audit'!$G$2:$G$136&lt;&gt;""))))</f>
        <v>US–Israeli war with Iran and halt to oil/gas exports through the Strait of Hormuz</v>
      </c>
    </row>
    <row r="7" spans="1:13" ht="28.8">
      <c r="A7" s="4" t="s">
        <v>24</v>
      </c>
      <c r="B7" s="5">
        <v>42338</v>
      </c>
      <c r="C7" s="5">
        <v>42307</v>
      </c>
      <c r="D7" s="5">
        <v>42355</v>
      </c>
      <c r="E7" s="5">
        <v>42325</v>
      </c>
      <c r="F7" s="4">
        <v>354.05187988281199</v>
      </c>
      <c r="G7" s="5">
        <v>42326</v>
      </c>
      <c r="H7" s="4">
        <v>309.495361328125</v>
      </c>
      <c r="I7" s="5">
        <v>42333</v>
      </c>
      <c r="J7" s="4">
        <v>247.6171875</v>
      </c>
      <c r="K7" cm="1">
        <f t="array" ref="K7">ROWS(_xlfn.UNIQUE(_xlfn._xlws.FILTER('135 Raw Peak Audit'!$G$2:$G$136,('135 Raw Peak Audit'!$A$2:$A$136=$A7)*('135 Raw Peak Audit'!$G$2:$G$136&lt;&gt;""))))</f>
        <v>2</v>
      </c>
      <c r="L7" t="str" cm="1">
        <f t="array" ref="L7">_xlfn.TEXTJOIN("; ",TRUE,_xlfn.UNIQUE(_xlfn._xlws.FILTER('135 Raw Peak Audit'!$I$2:$I$136,('135 Raw Peak Audit'!$A$2:$A$136=$A7)*('135 Raw Peak Audit'!$I$2:$I$136&lt;&gt;""))))</f>
        <v>E03; E04</v>
      </c>
      <c r="M7" t="str" cm="1">
        <f t="array" ref="M7">_xlfn.TEXTJOIN("; ",TRUE,_xlfn.UNIQUE(_xlfn._xlws.FILTER('135 Raw Peak Audit'!$G$2:$G$136,('135 Raw Peak Audit'!$A$2:$A$136=$A7)*('135 Raw Peak Audit'!$G$2:$G$136&lt;&gt;""))))</f>
        <v>Paris attacks and the Saint-Denis anti-terror raid; Turkey shoots down a Russian military aircraft near the Syria border</v>
      </c>
    </row>
    <row r="8" spans="1:13" ht="28.8">
      <c r="A8" s="4" t="s">
        <v>25</v>
      </c>
      <c r="B8" s="5">
        <v>42893</v>
      </c>
      <c r="C8" s="5">
        <v>42874</v>
      </c>
      <c r="D8" s="5">
        <v>42901</v>
      </c>
      <c r="E8" s="5">
        <v>42893</v>
      </c>
      <c r="F8" s="4">
        <v>245.95683288574199</v>
      </c>
      <c r="G8" s="5">
        <v>42892</v>
      </c>
      <c r="H8" s="4">
        <v>227.27735900878901</v>
      </c>
      <c r="I8" s="5">
        <v>42881</v>
      </c>
      <c r="J8" s="4">
        <v>218.06872558593801</v>
      </c>
      <c r="K8" cm="1">
        <f t="array" ref="K8">ROWS(_xlfn.UNIQUE(_xlfn._xlws.FILTER('135 Raw Peak Audit'!$G$2:$G$136,('135 Raw Peak Audit'!$A$2:$A$136=$A8)*('135 Raw Peak Audit'!$G$2:$G$136&lt;&gt;""))))</f>
        <v>3</v>
      </c>
      <c r="L8" t="str" cm="1">
        <f t="array" ref="L8">_xlfn.TEXTJOIN("; ",TRUE,_xlfn.UNIQUE(_xlfn._xlws.FILTER('135 Raw Peak Audit'!$I$2:$I$136,('135 Raw Peak Audit'!$A$2:$A$136=$A8)*('135 Raw Peak Audit'!$I$2:$I$136&lt;&gt;""))))</f>
        <v>E08; E09; E10</v>
      </c>
      <c r="M8" t="str" cm="1">
        <f t="array" ref="M8">_xlfn.TEXTJOIN("; ",TRUE,_xlfn.UNIQUE(_xlfn._xlws.FILTER('135 Raw Peak Audit'!$G$2:$G$136,('135 Raw Peak Audit'!$A$2:$A$136=$A8)*('135 Raw Peak Audit'!$G$2:$G$136&lt;&gt;""))))</f>
        <v>Islamic State attacks on Iran's parliament and Khomeini shrine; Qatar diplomatic crisis begins as neighbouring states sever ties; Qatar News Agency hack that preceded the Qatar diplomatic crisis</v>
      </c>
    </row>
    <row r="9" spans="1:13" ht="28.8">
      <c r="A9" s="4" t="s">
        <v>26</v>
      </c>
      <c r="B9" s="5">
        <v>43740</v>
      </c>
      <c r="C9" s="5">
        <v>43728</v>
      </c>
      <c r="D9" s="5">
        <v>43746</v>
      </c>
      <c r="E9" s="5">
        <v>43725</v>
      </c>
      <c r="F9" s="4">
        <v>253.34211730957</v>
      </c>
      <c r="G9" s="5">
        <v>43749</v>
      </c>
      <c r="H9" s="4">
        <v>204.31848144531199</v>
      </c>
      <c r="I9" s="5">
        <v>43754</v>
      </c>
      <c r="J9" s="4">
        <v>193.50186157226599</v>
      </c>
      <c r="K9" cm="1">
        <f t="array" ref="K9">ROWS(_xlfn.UNIQUE(_xlfn._xlws.FILTER('135 Raw Peak Audit'!$G$2:$G$136,('135 Raw Peak Audit'!$A$2:$A$136=$A9)*('135 Raw Peak Audit'!$G$2:$G$136&lt;&gt;""))))</f>
        <v>2</v>
      </c>
      <c r="L9" t="str" cm="1">
        <f t="array" ref="L9">_xlfn.TEXTJOIN("; ",TRUE,_xlfn.UNIQUE(_xlfn._xlws.FILTER('135 Raw Peak Audit'!$I$2:$I$136,('135 Raw Peak Audit'!$A$2:$A$136=$A9)*('135 Raw Peak Audit'!$I$2:$I$136&lt;&gt;""))))</f>
        <v>E11; E12</v>
      </c>
      <c r="M9" t="str" cm="1">
        <f t="array" ref="M9">_xlfn.TEXTJOIN("; ",TRUE,_xlfn.UNIQUE(_xlfn._xlws.FILTER('135 Raw Peak Audit'!$G$2:$G$136,('135 Raw Peak Audit'!$A$2:$A$136=$A9)*('135 Raw Peak Audit'!$G$2:$G$136&lt;&gt;""))))</f>
        <v>Attacks on Saudi Aramco facilities and accusations against Iran; Turkey's Operation Peace Spring offensive in north-eastern Syria</v>
      </c>
    </row>
    <row r="10" spans="1:13" ht="28.8">
      <c r="A10" s="4" t="s">
        <v>27</v>
      </c>
      <c r="B10" s="5">
        <v>45070</v>
      </c>
      <c r="C10" s="5">
        <v>45062</v>
      </c>
      <c r="D10" s="5">
        <v>45077</v>
      </c>
      <c r="E10" s="5">
        <v>45077</v>
      </c>
      <c r="F10" s="4">
        <v>219.58306884765599</v>
      </c>
      <c r="G10" s="5">
        <v>45069</v>
      </c>
      <c r="H10" s="4">
        <v>183.69136047363301</v>
      </c>
      <c r="I10" s="5">
        <v>45078</v>
      </c>
      <c r="J10" s="4">
        <v>182.39715576171901</v>
      </c>
      <c r="K10" cm="1">
        <f t="array" ref="K10">ROWS(_xlfn.UNIQUE(_xlfn._xlws.FILTER('135 Raw Peak Audit'!$G$2:$G$136,('135 Raw Peak Audit'!$A$2:$A$136=$A10)*('135 Raw Peak Audit'!$G$2:$G$136&lt;&gt;""))))</f>
        <v>1</v>
      </c>
      <c r="L10" t="str" cm="1">
        <f t="array" ref="L10">_xlfn.TEXTJOIN("; ",TRUE,_xlfn.UNIQUE(_xlfn._xlws.FILTER('135 Raw Peak Audit'!$I$2:$I$136,('135 Raw Peak Audit'!$A$2:$A$136=$A10)*('135 Raw Peak Audit'!$I$2:$I$136&lt;&gt;""))))</f>
        <v>E13</v>
      </c>
      <c r="M10" t="str" cm="1">
        <f t="array" ref="M10">_xlfn.TEXTJOIN("; ",TRUE,_xlfn.UNIQUE(_xlfn._xlws.FILTER('135 Raw Peak Audit'!$G$2:$G$136,('135 Raw Peak Audit'!$A$2:$A$136=$A10)*('135 Raw Peak Audit'!$G$2:$G$136&lt;&gt;""))))</f>
        <v>Belgorod cross-border raids by anti-Kremlin fighters</v>
      </c>
    </row>
    <row r="11" spans="1:13" ht="28.8">
      <c r="A11" s="4" t="s">
        <v>30</v>
      </c>
      <c r="B11" s="5">
        <v>46098</v>
      </c>
      <c r="C11" s="5">
        <v>46064</v>
      </c>
      <c r="D11" s="5">
        <v>46104</v>
      </c>
      <c r="E11" s="5">
        <v>46085</v>
      </c>
      <c r="F11" s="4">
        <v>465.91864013671898</v>
      </c>
      <c r="G11" s="5">
        <v>46091</v>
      </c>
      <c r="H11" s="4">
        <v>457.110595703125</v>
      </c>
      <c r="I11" s="5">
        <v>46112</v>
      </c>
      <c r="J11" s="4">
        <v>447.822265625</v>
      </c>
      <c r="K11" cm="1">
        <f t="array" ref="K11">ROWS(_xlfn.UNIQUE(_xlfn._xlws.FILTER('135 Raw Peak Audit'!$G$2:$G$136,('135 Raw Peak Audit'!$A$2:$A$136=$A11)*('135 Raw Peak Audit'!$G$2:$G$136&lt;&gt;""))))</f>
        <v>2</v>
      </c>
      <c r="L11" t="str" cm="1">
        <f t="array" ref="L11">_xlfn.TEXTJOIN("; ",TRUE,_xlfn.UNIQUE(_xlfn._xlws.FILTER('135 Raw Peak Audit'!$I$2:$I$136,('135 Raw Peak Audit'!$A$2:$A$136=$A11)*('135 Raw Peak Audit'!$I$2:$I$136&lt;&gt;""))))</f>
        <v>E07; E14</v>
      </c>
      <c r="M11" t="str" cm="1">
        <f t="array" ref="M11">_xlfn.TEXTJOIN("; ",TRUE,_xlfn.UNIQUE(_xlfn._xlws.FILTER('135 Raw Peak Audit'!$G$2:$G$136,('135 Raw Peak Audit'!$A$2:$A$136=$A11)*('135 Raw Peak Audit'!$G$2:$G$136&lt;&gt;""))))</f>
        <v>US–Israeli war with Iran and halt to oil/gas exports through the Strait of Hormuz; Tanker attack in Dubai amid the Iran war and Strait of Hormuz disruption</v>
      </c>
    </row>
    <row r="12" spans="1:13" ht="28.8">
      <c r="A12" s="4" t="s">
        <v>31</v>
      </c>
      <c r="B12" s="5">
        <v>44322</v>
      </c>
      <c r="C12" s="5">
        <v>44309</v>
      </c>
      <c r="D12" s="5">
        <v>44334</v>
      </c>
      <c r="E12" s="5">
        <v>44300</v>
      </c>
      <c r="F12" s="4">
        <v>186.30352783203099</v>
      </c>
      <c r="G12" s="5">
        <v>44342</v>
      </c>
      <c r="H12" s="4">
        <v>176.61283874511699</v>
      </c>
      <c r="I12" s="5">
        <v>44341</v>
      </c>
      <c r="J12" s="4">
        <v>170.94143676757801</v>
      </c>
      <c r="K12" cm="1">
        <f t="array" ref="K12">ROWS(_xlfn.UNIQUE(_xlfn._xlws.FILTER('135 Raw Peak Audit'!$G$2:$G$136,('135 Raw Peak Audit'!$A$2:$A$136=$A12)*('135 Raw Peak Audit'!$G$2:$G$136&lt;&gt;""))))</f>
        <v>2</v>
      </c>
      <c r="L12" t="str" cm="1">
        <f t="array" ref="L12">_xlfn.TEXTJOIN("; ",TRUE,_xlfn.UNIQUE(_xlfn._xlws.FILTER('135 Raw Peak Audit'!$I$2:$I$136,('135 Raw Peak Audit'!$A$2:$A$136=$A12)*('135 Raw Peak Audit'!$I$2:$I$136&lt;&gt;""))))</f>
        <v>E15; E05</v>
      </c>
      <c r="M12" t="str" cm="1">
        <f t="array" ref="M12">_xlfn.TEXTJOIN("; ",TRUE,_xlfn.UNIQUE(_xlfn._xlws.FILTER('135 Raw Peak Audit'!$G$2:$G$136,('135 Raw Peak Audit'!$A$2:$A$136=$A12)*('135 Raw Peak Audit'!$G$2:$G$136&lt;&gt;""))))</f>
        <v>President Biden announces withdrawal of US forces from Afghanistan; Israel–Gaza ceasefire and post-conflict reconstruction commitments</v>
      </c>
    </row>
    <row r="13" spans="1:13" ht="28.8">
      <c r="A13" s="4" t="s">
        <v>32</v>
      </c>
      <c r="B13" s="5">
        <v>44348</v>
      </c>
      <c r="C13" s="5">
        <v>44334</v>
      </c>
      <c r="D13" s="5">
        <v>44369</v>
      </c>
      <c r="E13" s="5">
        <v>44342</v>
      </c>
      <c r="F13" s="4">
        <v>176.61283874511699</v>
      </c>
      <c r="G13" s="5">
        <v>44341</v>
      </c>
      <c r="H13" s="4">
        <v>170.94143676757801</v>
      </c>
      <c r="I13" s="5">
        <v>44369</v>
      </c>
      <c r="J13" s="4">
        <v>170.60433959960901</v>
      </c>
      <c r="K13" cm="1">
        <f t="array" ref="K13">ROWS(_xlfn.UNIQUE(_xlfn._xlws.FILTER('135 Raw Peak Audit'!$G$2:$G$136,('135 Raw Peak Audit'!$A$2:$A$136=$A13)*('135 Raw Peak Audit'!$G$2:$G$136&lt;&gt;""))))</f>
        <v>1</v>
      </c>
      <c r="L13" t="str" cm="1">
        <f t="array" ref="L13">_xlfn.TEXTJOIN("; ",TRUE,_xlfn.UNIQUE(_xlfn._xlws.FILTER('135 Raw Peak Audit'!$I$2:$I$136,('135 Raw Peak Audit'!$A$2:$A$136=$A13)*('135 Raw Peak Audit'!$I$2:$I$136&lt;&gt;""))))</f>
        <v>E05</v>
      </c>
      <c r="M13" t="str" cm="1">
        <f t="array" ref="M13">_xlfn.TEXTJOIN("; ",TRUE,_xlfn.UNIQUE(_xlfn._xlws.FILTER('135 Raw Peak Audit'!$G$2:$G$136,('135 Raw Peak Audit'!$A$2:$A$136=$A13)*('135 Raw Peak Audit'!$G$2:$G$136&lt;&gt;""))))</f>
        <v>Israel–Gaza ceasefire and post-conflict reconstruction commitments</v>
      </c>
    </row>
    <row r="14" spans="1:13" ht="28.8">
      <c r="A14" s="4" t="s">
        <v>33</v>
      </c>
      <c r="B14" s="5">
        <v>45226</v>
      </c>
      <c r="C14" s="5">
        <v>45215</v>
      </c>
      <c r="D14" s="5">
        <v>45251</v>
      </c>
      <c r="E14" s="5">
        <v>45218</v>
      </c>
      <c r="F14" s="4">
        <v>338.85171508789102</v>
      </c>
      <c r="G14" s="5">
        <v>45217</v>
      </c>
      <c r="H14" s="4">
        <v>333.00942993164102</v>
      </c>
      <c r="I14" s="5">
        <v>45219</v>
      </c>
      <c r="J14" s="4">
        <v>298.62881469726602</v>
      </c>
      <c r="K14" cm="1">
        <f t="array" ref="K14">ROWS(_xlfn.UNIQUE(_xlfn._xlws.FILTER('135 Raw Peak Audit'!$G$2:$G$136,('135 Raw Peak Audit'!$A$2:$A$136=$A14)*('135 Raw Peak Audit'!$G$2:$G$136&lt;&gt;""))))</f>
        <v>1</v>
      </c>
      <c r="L14" t="str" cm="1">
        <f t="array" ref="L14">_xlfn.TEXTJOIN("; ",TRUE,_xlfn.UNIQUE(_xlfn._xlws.FILTER('135 Raw Peak Audit'!$I$2:$I$136,('135 Raw Peak Audit'!$A$2:$A$136=$A14)*('135 Raw Peak Audit'!$I$2:$I$136&lt;&gt;""))))</f>
        <v>E16</v>
      </c>
      <c r="M14" t="str" cm="1">
        <f t="array" ref="M14">_xlfn.TEXTJOIN("; ",TRUE,_xlfn.UNIQUE(_xlfn._xlws.FILTER('135 Raw Peak Audit'!$G$2:$G$136,('135 Raw Peak Audit'!$A$2:$A$136=$A14)*('135 Raw Peak Audit'!$G$2:$G$136&lt;&gt;""))))</f>
        <v>Hamas-led attacks on Israel and the start of the Gaza war</v>
      </c>
    </row>
    <row r="15" spans="1:13" ht="28.8">
      <c r="A15" s="4" t="s">
        <v>36</v>
      </c>
      <c r="B15" s="5">
        <v>45813</v>
      </c>
      <c r="C15" s="5">
        <v>45805</v>
      </c>
      <c r="D15" s="5">
        <v>45821</v>
      </c>
      <c r="E15" s="5">
        <v>45832</v>
      </c>
      <c r="F15" s="4">
        <v>351.72052001953102</v>
      </c>
      <c r="G15" s="5">
        <v>45833</v>
      </c>
      <c r="H15" s="4">
        <v>328.47311401367199</v>
      </c>
      <c r="I15" s="5">
        <v>45826</v>
      </c>
      <c r="J15" s="4">
        <v>320.77005004882801</v>
      </c>
      <c r="K15" cm="1">
        <f t="array" ref="K15">ROWS(_xlfn.UNIQUE(_xlfn._xlws.FILTER('135 Raw Peak Audit'!$G$2:$G$136,('135 Raw Peak Audit'!$A$2:$A$136=$A15)*('135 Raw Peak Audit'!$G$2:$G$136&lt;&gt;""))))</f>
        <v>1</v>
      </c>
      <c r="L15" t="str" cm="1">
        <f t="array" ref="L15">_xlfn.TEXTJOIN("; ",TRUE,_xlfn.UNIQUE(_xlfn._xlws.FILTER('135 Raw Peak Audit'!$I$2:$I$136,('135 Raw Peak Audit'!$A$2:$A$136=$A15)*('135 Raw Peak Audit'!$I$2:$I$136&lt;&gt;""))))</f>
        <v>E17</v>
      </c>
      <c r="M15" t="str" cm="1">
        <f t="array" ref="M15">_xlfn.TEXTJOIN("; ",TRUE,_xlfn.UNIQUE(_xlfn._xlws.FILTER('135 Raw Peak Audit'!$G$2:$G$136,('135 Raw Peak Audit'!$A$2:$A$136=$A15)*('135 Raw Peak Audit'!$G$2:$G$136&lt;&gt;""))))</f>
        <v>Israel–Iran war, US intervention and June ceasefire</v>
      </c>
    </row>
    <row r="16" spans="1:13" ht="28.8">
      <c r="A16" s="4" t="s">
        <v>39</v>
      </c>
      <c r="B16" s="5">
        <v>46105</v>
      </c>
      <c r="C16" s="5">
        <v>46057</v>
      </c>
      <c r="D16" s="5">
        <v>46155</v>
      </c>
      <c r="E16" s="5">
        <v>46085</v>
      </c>
      <c r="F16" s="4">
        <v>465.91864013671898</v>
      </c>
      <c r="G16" s="5">
        <v>46091</v>
      </c>
      <c r="H16" s="4">
        <v>457.110595703125</v>
      </c>
      <c r="I16" s="5">
        <v>46112</v>
      </c>
      <c r="J16" s="4">
        <v>447.822265625</v>
      </c>
      <c r="K16" cm="1">
        <f t="array" ref="K16">ROWS(_xlfn.UNIQUE(_xlfn._xlws.FILTER('135 Raw Peak Audit'!$G$2:$G$136,('135 Raw Peak Audit'!$A$2:$A$136=$A16)*('135 Raw Peak Audit'!$G$2:$G$136&lt;&gt;""))))</f>
        <v>2</v>
      </c>
      <c r="L16" t="str" cm="1">
        <f t="array" ref="L16">_xlfn.TEXTJOIN("; ",TRUE,_xlfn.UNIQUE(_xlfn._xlws.FILTER('135 Raw Peak Audit'!$I$2:$I$136,('135 Raw Peak Audit'!$A$2:$A$136=$A16)*('135 Raw Peak Audit'!$I$2:$I$136&lt;&gt;""))))</f>
        <v>E07; E14</v>
      </c>
      <c r="M16" t="str" cm="1">
        <f t="array" ref="M16">_xlfn.TEXTJOIN("; ",TRUE,_xlfn.UNIQUE(_xlfn._xlws.FILTER('135 Raw Peak Audit'!$G$2:$G$136,('135 Raw Peak Audit'!$A$2:$A$136=$A16)*('135 Raw Peak Audit'!$G$2:$G$136&lt;&gt;""))))</f>
        <v>US–Israeli war with Iran and halt to oil/gas exports through the Strait of Hormuz; Tanker attack in Dubai amid the Iran war and Strait of Hormuz disruption</v>
      </c>
    </row>
    <row r="17" spans="1:13" ht="28.8">
      <c r="A17" s="4" t="s">
        <v>40</v>
      </c>
      <c r="B17" s="5">
        <v>42331</v>
      </c>
      <c r="C17" s="5">
        <v>42313</v>
      </c>
      <c r="D17" s="5">
        <v>42338</v>
      </c>
      <c r="E17" s="5">
        <v>42325</v>
      </c>
      <c r="F17" s="4">
        <v>551.20111083984398</v>
      </c>
      <c r="G17" s="5">
        <v>42326</v>
      </c>
      <c r="H17" s="4">
        <v>520.66583251953102</v>
      </c>
      <c r="I17" s="5">
        <v>42333</v>
      </c>
      <c r="J17" s="4">
        <v>394.968017578125</v>
      </c>
      <c r="K17" cm="1">
        <f t="array" ref="K17">ROWS(_xlfn.UNIQUE(_xlfn._xlws.FILTER('135 Raw Peak Audit'!$G$2:$G$136,('135 Raw Peak Audit'!$A$2:$A$136=$A17)*('135 Raw Peak Audit'!$G$2:$G$136&lt;&gt;""))))</f>
        <v>2</v>
      </c>
      <c r="L17" t="str" cm="1">
        <f t="array" ref="L17">_xlfn.TEXTJOIN("; ",TRUE,_xlfn.UNIQUE(_xlfn._xlws.FILTER('135 Raw Peak Audit'!$I$2:$I$136,('135 Raw Peak Audit'!$A$2:$A$136=$A17)*('135 Raw Peak Audit'!$I$2:$I$136&lt;&gt;""))))</f>
        <v>E03; E04</v>
      </c>
      <c r="M17" t="str" cm="1">
        <f t="array" ref="M17">_xlfn.TEXTJOIN("; ",TRUE,_xlfn.UNIQUE(_xlfn._xlws.FILTER('135 Raw Peak Audit'!$G$2:$G$136,('135 Raw Peak Audit'!$A$2:$A$136=$A17)*('135 Raw Peak Audit'!$G$2:$G$136&lt;&gt;""))))</f>
        <v>Paris attacks and the Saint-Denis anti-terror raid; Turkey shoots down a Russian military aircraft near the Syria border</v>
      </c>
    </row>
    <row r="18" spans="1:13" ht="28.8">
      <c r="A18" s="4" t="s">
        <v>41</v>
      </c>
      <c r="B18" s="5">
        <v>43836</v>
      </c>
      <c r="C18" s="5">
        <v>43823</v>
      </c>
      <c r="D18" s="5">
        <v>43857</v>
      </c>
      <c r="E18" s="5">
        <v>43839</v>
      </c>
      <c r="F18" s="4">
        <v>339.62139892578102</v>
      </c>
      <c r="G18" s="5">
        <v>43836</v>
      </c>
      <c r="H18" s="4">
        <v>191.86993662516301</v>
      </c>
      <c r="I18" s="5">
        <v>43840</v>
      </c>
      <c r="J18" s="4">
        <v>166.78642272949199</v>
      </c>
      <c r="K18" cm="1">
        <f t="array" ref="K18">ROWS(_xlfn.UNIQUE(_xlfn._xlws.FILTER('135 Raw Peak Audit'!$G$2:$G$136,('135 Raw Peak Audit'!$A$2:$A$136=$A18)*('135 Raw Peak Audit'!$G$2:$G$136&lt;&gt;""))))</f>
        <v>2</v>
      </c>
      <c r="L18" t="str" cm="1">
        <f t="array" ref="L18">_xlfn.TEXTJOIN("; ",TRUE,_xlfn.UNIQUE(_xlfn._xlws.FILTER('135 Raw Peak Audit'!$I$2:$I$136,('135 Raw Peak Audit'!$A$2:$A$136=$A18)*('135 Raw Peak Audit'!$I$2:$I$136&lt;&gt;""))))</f>
        <v>E18; E19</v>
      </c>
      <c r="M18" t="str" cm="1">
        <f t="array" ref="M18">_xlfn.TEXTJOIN("; ",TRUE,_xlfn.UNIQUE(_xlfn._xlws.FILTER('135 Raw Peak Audit'!$G$2:$G$136,('135 Raw Peak Audit'!$A$2:$A$136=$A18)*('135 Raw Peak Audit'!$G$2:$G$136&lt;&gt;""))))</f>
        <v>Iran's accidental downing of Ukraine International Airlines Flight PS752; US killing of Iranian general Qassem Soleimani</v>
      </c>
    </row>
    <row r="19" spans="1:13" ht="28.8">
      <c r="A19" s="4" t="s">
        <v>42</v>
      </c>
      <c r="B19" s="5">
        <v>44336</v>
      </c>
      <c r="C19" s="5">
        <v>44321</v>
      </c>
      <c r="D19" s="5">
        <v>44348</v>
      </c>
      <c r="E19" s="5">
        <v>44329</v>
      </c>
      <c r="F19" s="4">
        <v>131.76544189453099</v>
      </c>
      <c r="G19" s="5">
        <v>44337</v>
      </c>
      <c r="H19" s="4">
        <v>125.12368011474599</v>
      </c>
      <c r="I19" s="5">
        <v>44334</v>
      </c>
      <c r="J19" s="4">
        <v>108.11334991455099</v>
      </c>
      <c r="K19" cm="1">
        <f t="array" ref="K19">ROWS(_xlfn.UNIQUE(_xlfn._xlws.FILTER('135 Raw Peak Audit'!$G$2:$G$136,('135 Raw Peak Audit'!$A$2:$A$136=$A19)*('135 Raw Peak Audit'!$G$2:$G$136&lt;&gt;""))))</f>
        <v>2</v>
      </c>
      <c r="L19" t="str" cm="1">
        <f t="array" ref="L19">_xlfn.TEXTJOIN("; ",TRUE,_xlfn.UNIQUE(_xlfn._xlws.FILTER('135 Raw Peak Audit'!$I$2:$I$136,('135 Raw Peak Audit'!$A$2:$A$136=$A19)*('135 Raw Peak Audit'!$I$2:$I$136&lt;&gt;""))))</f>
        <v>E20; E05</v>
      </c>
      <c r="M19" t="str" cm="1">
        <f t="array" ref="M19">_xlfn.TEXTJOIN("; ",TRUE,_xlfn.UNIQUE(_xlfn._xlws.FILTER('135 Raw Peak Audit'!$G$2:$G$136,('135 Raw Peak Audit'!$A$2:$A$136=$A19)*('135 Raw Peak Audit'!$G$2:$G$136&lt;&gt;""))))</f>
        <v>May 2021 escalation of hostilities between Israel and Gaza; Israel–Gaza ceasefire and post-conflict reconstruction commitments</v>
      </c>
    </row>
    <row r="20" spans="1:13" ht="28.8">
      <c r="A20" s="4" t="s">
        <v>43</v>
      </c>
      <c r="B20" s="5">
        <v>45729</v>
      </c>
      <c r="C20" s="5">
        <v>45722</v>
      </c>
      <c r="D20" s="5">
        <v>45748</v>
      </c>
      <c r="E20" s="5">
        <v>45734</v>
      </c>
      <c r="F20" s="4">
        <v>271.26623535156199</v>
      </c>
      <c r="G20" s="5">
        <v>45735</v>
      </c>
      <c r="H20" s="4">
        <v>251.39157104492199</v>
      </c>
      <c r="I20" s="5">
        <v>45728</v>
      </c>
      <c r="J20" s="4">
        <v>234.28985595703099</v>
      </c>
      <c r="K20" cm="1">
        <f t="array" ref="K20">ROWS(_xlfn.UNIQUE(_xlfn._xlws.FILTER('135 Raw Peak Audit'!$G$2:$G$136,('135 Raw Peak Audit'!$A$2:$A$136=$A20)*('135 Raw Peak Audit'!$G$2:$G$136&lt;&gt;""))))</f>
        <v>1</v>
      </c>
      <c r="L20" t="str" cm="1">
        <f t="array" ref="L20">_xlfn.TEXTJOIN("; ",TRUE,_xlfn.UNIQUE(_xlfn._xlws.FILTER('135 Raw Peak Audit'!$I$2:$I$136,('135 Raw Peak Audit'!$A$2:$A$136=$A20)*('135 Raw Peak Audit'!$I$2:$I$136&lt;&gt;""))))</f>
        <v>E06</v>
      </c>
      <c r="M20" t="str" cm="1">
        <f t="array" ref="M20">_xlfn.TEXTJOIN("; ",TRUE,_xlfn.UNIQUE(_xlfn._xlws.FILTER('135 Raw Peak Audit'!$G$2:$G$136,('135 Raw Peak Audit'!$A$2:$A$136=$A20)*('135 Raw Peak Audit'!$G$2:$G$136&lt;&gt;""))))</f>
        <v>Ukraine ceasefire diplomacy and Putin's response/conditions</v>
      </c>
    </row>
    <row r="21" spans="1:13" ht="28.8">
      <c r="A21" s="4" t="s">
        <v>44</v>
      </c>
      <c r="B21" s="5">
        <v>45832</v>
      </c>
      <c r="C21" s="5">
        <v>45819</v>
      </c>
      <c r="D21" s="5">
        <v>45841</v>
      </c>
      <c r="E21" s="5">
        <v>45831</v>
      </c>
      <c r="F21" s="4">
        <v>352.00847880045598</v>
      </c>
      <c r="G21" s="5">
        <v>45828</v>
      </c>
      <c r="H21" s="4">
        <v>345.27322387695301</v>
      </c>
      <c r="I21" s="5">
        <v>45832</v>
      </c>
      <c r="J21" s="4">
        <v>318.76171875</v>
      </c>
      <c r="K21" cm="1">
        <f t="array" ref="K21">ROWS(_xlfn.UNIQUE(_xlfn._xlws.FILTER('135 Raw Peak Audit'!$G$2:$G$136,('135 Raw Peak Audit'!$A$2:$A$136=$A21)*('135 Raw Peak Audit'!$G$2:$G$136&lt;&gt;""))))</f>
        <v>1</v>
      </c>
      <c r="L21" t="str" cm="1">
        <f t="array" ref="L21">_xlfn.TEXTJOIN("; ",TRUE,_xlfn.UNIQUE(_xlfn._xlws.FILTER('135 Raw Peak Audit'!$I$2:$I$136,('135 Raw Peak Audit'!$A$2:$A$136=$A21)*('135 Raw Peak Audit'!$I$2:$I$136&lt;&gt;""))))</f>
        <v>E17</v>
      </c>
      <c r="M21" t="str" cm="1">
        <f t="array" ref="M21">_xlfn.TEXTJOIN("; ",TRUE,_xlfn.UNIQUE(_xlfn._xlws.FILTER('135 Raw Peak Audit'!$G$2:$G$136,('135 Raw Peak Audit'!$A$2:$A$136=$A21)*('135 Raw Peak Audit'!$G$2:$G$136&lt;&gt;""))))</f>
        <v>Israel–Iran war, US intervention and June ceasefire</v>
      </c>
    </row>
    <row r="22" spans="1:13" ht="28.8">
      <c r="A22" s="4" t="s">
        <v>45</v>
      </c>
      <c r="B22" s="5">
        <v>42338</v>
      </c>
      <c r="C22" s="5">
        <v>42306</v>
      </c>
      <c r="D22" s="5">
        <v>42374</v>
      </c>
      <c r="E22" s="5">
        <v>42325</v>
      </c>
      <c r="F22" s="4">
        <v>551.20111083984398</v>
      </c>
      <c r="G22" s="5">
        <v>42326</v>
      </c>
      <c r="H22" s="4">
        <v>520.66583251953102</v>
      </c>
      <c r="I22" s="5">
        <v>42333</v>
      </c>
      <c r="J22" s="4">
        <v>394.968017578125</v>
      </c>
      <c r="K22" cm="1">
        <f t="array" ref="K22">ROWS(_xlfn.UNIQUE(_xlfn._xlws.FILTER('135 Raw Peak Audit'!$G$2:$G$136,('135 Raw Peak Audit'!$A$2:$A$136=$A22)*('135 Raw Peak Audit'!$G$2:$G$136&lt;&gt;""))))</f>
        <v>2</v>
      </c>
      <c r="L22" t="str" cm="1">
        <f t="array" ref="L22">_xlfn.TEXTJOIN("; ",TRUE,_xlfn.UNIQUE(_xlfn._xlws.FILTER('135 Raw Peak Audit'!$I$2:$I$136,('135 Raw Peak Audit'!$A$2:$A$136=$A22)*('135 Raw Peak Audit'!$I$2:$I$136&lt;&gt;""))))</f>
        <v>E03; E04</v>
      </c>
      <c r="M22" t="str" cm="1">
        <f t="array" ref="M22">_xlfn.TEXTJOIN("; ",TRUE,_xlfn.UNIQUE(_xlfn._xlws.FILTER('135 Raw Peak Audit'!$G$2:$G$136,('135 Raw Peak Audit'!$A$2:$A$136=$A22)*('135 Raw Peak Audit'!$G$2:$G$136&lt;&gt;""))))</f>
        <v>Paris attacks and the Saint-Denis anti-terror raid; Turkey shoots down a Russian military aircraft near the Syria border</v>
      </c>
    </row>
    <row r="23" spans="1:13" ht="28.8">
      <c r="A23" s="4" t="s">
        <v>46</v>
      </c>
      <c r="B23" s="5">
        <v>42717</v>
      </c>
      <c r="C23" s="5">
        <v>42706</v>
      </c>
      <c r="D23" s="5">
        <v>42723</v>
      </c>
      <c r="E23" s="5">
        <v>42725</v>
      </c>
      <c r="F23" s="4">
        <v>311.33465576171898</v>
      </c>
      <c r="G23" s="5">
        <v>42734</v>
      </c>
      <c r="H23" s="4">
        <v>247.23635864257801</v>
      </c>
      <c r="I23" s="5">
        <v>42727</v>
      </c>
      <c r="J23" s="4">
        <v>246.60563659668</v>
      </c>
      <c r="K23" cm="1">
        <f t="array" ref="K23">ROWS(_xlfn.UNIQUE(_xlfn._xlws.FILTER('135 Raw Peak Audit'!$G$2:$G$136,('135 Raw Peak Audit'!$A$2:$A$136=$A23)*('135 Raw Peak Audit'!$G$2:$G$136&lt;&gt;""))))</f>
        <v>1</v>
      </c>
      <c r="L23" t="str" cm="1">
        <f t="array" ref="L23">_xlfn.TEXTJOIN("; ",TRUE,_xlfn.UNIQUE(_xlfn._xlws.FILTER('135 Raw Peak Audit'!$I$2:$I$136,('135 Raw Peak Audit'!$A$2:$A$136=$A23)*('135 Raw Peak Audit'!$I$2:$I$136&lt;&gt;""))))</f>
        <v>E21</v>
      </c>
      <c r="M23" t="str" cm="1">
        <f t="array" ref="M23">_xlfn.TEXTJOIN("; ",TRUE,_xlfn.UNIQUE(_xlfn._xlws.FILTER('135 Raw Peak Audit'!$G$2:$G$136,('135 Raw Peak Audit'!$A$2:$A$136=$A23)*('135 Raw Peak Audit'!$G$2:$G$136&lt;&gt;""))))</f>
        <v>Battle of Aleppo and December Syria ceasefire</v>
      </c>
    </row>
    <row r="24" spans="1:13" ht="28.8">
      <c r="A24" s="4" t="s">
        <v>49</v>
      </c>
      <c r="B24" s="5">
        <v>42893</v>
      </c>
      <c r="C24" s="5">
        <v>42874</v>
      </c>
      <c r="D24" s="5">
        <v>42915</v>
      </c>
      <c r="E24" s="5">
        <v>42892</v>
      </c>
      <c r="F24" s="4">
        <v>339.86666870117199</v>
      </c>
      <c r="G24" s="5">
        <v>42893</v>
      </c>
      <c r="H24" s="4">
        <v>333.88903808593801</v>
      </c>
      <c r="I24" s="5">
        <v>42881</v>
      </c>
      <c r="J24" s="4">
        <v>289.86331176757801</v>
      </c>
      <c r="K24" cm="1">
        <f t="array" ref="K24">ROWS(_xlfn.UNIQUE(_xlfn._xlws.FILTER('135 Raw Peak Audit'!$G$2:$G$136,('135 Raw Peak Audit'!$A$2:$A$136=$A24)*('135 Raw Peak Audit'!$G$2:$G$136&lt;&gt;""))))</f>
        <v>3</v>
      </c>
      <c r="L24" t="str" cm="1">
        <f t="array" ref="L24">_xlfn.TEXTJOIN("; ",TRUE,_xlfn.UNIQUE(_xlfn._xlws.FILTER('135 Raw Peak Audit'!$I$2:$I$136,('135 Raw Peak Audit'!$A$2:$A$136=$A24)*('135 Raw Peak Audit'!$I$2:$I$136&lt;&gt;""))))</f>
        <v>E09; E08; E10</v>
      </c>
      <c r="M24" t="str" cm="1">
        <f t="array" ref="M24">_xlfn.TEXTJOIN("; ",TRUE,_xlfn.UNIQUE(_xlfn._xlws.FILTER('135 Raw Peak Audit'!$G$2:$G$136,('135 Raw Peak Audit'!$A$2:$A$136=$A24)*('135 Raw Peak Audit'!$G$2:$G$136&lt;&gt;""))))</f>
        <v>Qatar diplomatic crisis begins as neighbouring states sever ties; Islamic State attacks on Iran's parliament and Khomeini shrine; Qatar News Agency hack that preceded the Qatar diplomatic crisis</v>
      </c>
    </row>
    <row r="25" spans="1:13" ht="28.8">
      <c r="A25" s="4" t="s">
        <v>50</v>
      </c>
      <c r="B25" s="5">
        <v>45722</v>
      </c>
      <c r="C25" s="5">
        <v>45707</v>
      </c>
      <c r="D25" s="5">
        <v>45733</v>
      </c>
      <c r="E25" s="5">
        <v>45708</v>
      </c>
      <c r="F25" s="4">
        <v>336.85391235351602</v>
      </c>
      <c r="G25" s="5">
        <v>45734</v>
      </c>
      <c r="H25" s="4">
        <v>271.26623535156199</v>
      </c>
      <c r="I25" s="5">
        <v>45735</v>
      </c>
      <c r="J25" s="4">
        <v>251.39157104492199</v>
      </c>
      <c r="K25" cm="1">
        <f t="array" ref="K25">ROWS(_xlfn.UNIQUE(_xlfn._xlws.FILTER('135 Raw Peak Audit'!$G$2:$G$136,('135 Raw Peak Audit'!$A$2:$A$136=$A25)*('135 Raw Peak Audit'!$G$2:$G$136&lt;&gt;""))))</f>
        <v>2</v>
      </c>
      <c r="L25" t="str" cm="1">
        <f t="array" ref="L25">_xlfn.TEXTJOIN("; ",TRUE,_xlfn.UNIQUE(_xlfn._xlws.FILTER('135 Raw Peak Audit'!$I$2:$I$136,('135 Raw Peak Audit'!$A$2:$A$136=$A25)*('135 Raw Peak Audit'!$I$2:$I$136&lt;&gt;""))))</f>
        <v>E22; E06</v>
      </c>
      <c r="M25" t="str" cm="1">
        <f t="array" ref="M25">_xlfn.TEXTJOIN("; ",TRUE,_xlfn.UNIQUE(_xlfn._xlws.FILTER('135 Raw Peak Audit'!$G$2:$G$136,('135 Raw Peak Audit'!$A$2:$A$136=$A25)*('135 Raw Peak Audit'!$G$2:$G$136&lt;&gt;""))))</f>
        <v>Trump–Zelensky dispute and public blame over the war in Ukraine; Ukraine ceasefire diplomacy and Putin's response/conditions</v>
      </c>
    </row>
    <row r="26" spans="1:13" ht="28.8">
      <c r="A26" s="4" t="s">
        <v>51</v>
      </c>
      <c r="B26" s="5">
        <v>46098</v>
      </c>
      <c r="C26" s="5">
        <v>46065</v>
      </c>
      <c r="D26" s="5">
        <v>46101</v>
      </c>
      <c r="E26" s="5">
        <v>46091</v>
      </c>
      <c r="F26" s="4">
        <v>627.33221435546898</v>
      </c>
      <c r="G26" s="5">
        <v>46085</v>
      </c>
      <c r="H26" s="4">
        <v>611.76007080078102</v>
      </c>
      <c r="I26" s="5">
        <v>46112</v>
      </c>
      <c r="J26" s="4">
        <v>590.88153076171898</v>
      </c>
      <c r="K26" cm="1">
        <f t="array" ref="K26">ROWS(_xlfn.UNIQUE(_xlfn._xlws.FILTER('135 Raw Peak Audit'!$G$2:$G$136,('135 Raw Peak Audit'!$A$2:$A$136=$A26)*('135 Raw Peak Audit'!$G$2:$G$136&lt;&gt;""))))</f>
        <v>2</v>
      </c>
      <c r="L26" t="str" cm="1">
        <f t="array" ref="L26">_xlfn.TEXTJOIN("; ",TRUE,_xlfn.UNIQUE(_xlfn._xlws.FILTER('135 Raw Peak Audit'!$I$2:$I$136,('135 Raw Peak Audit'!$A$2:$A$136=$A26)*('135 Raw Peak Audit'!$I$2:$I$136&lt;&gt;""))))</f>
        <v>E07; E14</v>
      </c>
      <c r="M26" t="str" cm="1">
        <f t="array" ref="M26">_xlfn.TEXTJOIN("; ",TRUE,_xlfn.UNIQUE(_xlfn._xlws.FILTER('135 Raw Peak Audit'!$G$2:$G$136,('135 Raw Peak Audit'!$A$2:$A$136=$A26)*('135 Raw Peak Audit'!$G$2:$G$136&lt;&gt;""))))</f>
        <v>US–Israeli war with Iran and halt to oil/gas exports through the Strait of Hormuz; Tanker attack in Dubai amid the Iran war and Strait of Hormuz disruption</v>
      </c>
    </row>
    <row r="27" spans="1:13" ht="28.8">
      <c r="A27" s="4" t="s">
        <v>52</v>
      </c>
      <c r="B27" s="5">
        <v>42033</v>
      </c>
      <c r="C27" s="5">
        <v>42024</v>
      </c>
      <c r="D27" s="5">
        <v>42061</v>
      </c>
      <c r="E27" s="5">
        <v>42017</v>
      </c>
      <c r="F27" s="4">
        <v>259.009521484375</v>
      </c>
      <c r="G27" s="5">
        <v>42020</v>
      </c>
      <c r="H27" s="4">
        <v>258.11636352539102</v>
      </c>
      <c r="I27" s="5">
        <v>42019</v>
      </c>
      <c r="J27" s="4">
        <v>257.60641479492199</v>
      </c>
      <c r="K27" cm="1">
        <f t="array" ref="K27">ROWS(_xlfn.UNIQUE(_xlfn._xlws.FILTER('135 Raw Peak Audit'!$G$2:$G$136,('135 Raw Peak Audit'!$A$2:$A$136=$A27)*('135 Raw Peak Audit'!$G$2:$G$136&lt;&gt;""))))</f>
        <v>2</v>
      </c>
      <c r="L27" t="str" cm="1">
        <f t="array" ref="L27">_xlfn.TEXTJOIN("; ",TRUE,_xlfn.UNIQUE(_xlfn._xlws.FILTER('135 Raw Peak Audit'!$I$2:$I$136,('135 Raw Peak Audit'!$A$2:$A$136=$A27)*('135 Raw Peak Audit'!$I$2:$I$136&lt;&gt;""))))</f>
        <v>E23; E24</v>
      </c>
      <c r="M27" t="str" cm="1">
        <f t="array" ref="M27">_xlfn.TEXTJOIN("; ",TRUE,_xlfn.UNIQUE(_xlfn._xlws.FILTER('135 Raw Peak Audit'!$G$2:$G$136,('135 Raw Peak Audit'!$A$2:$A$136=$A27)*('135 Raw Peak Audit'!$G$2:$G$136&lt;&gt;""))))</f>
        <v>Volnovakha bus shelling in eastern Ukraine; Fighting and the fall of Donetsk airport during the Donbas conflict</v>
      </c>
    </row>
    <row r="28" spans="1:13" ht="28.8">
      <c r="A28" s="4" t="s">
        <v>53</v>
      </c>
      <c r="B28" s="5">
        <v>42345</v>
      </c>
      <c r="C28" s="5">
        <v>42339</v>
      </c>
      <c r="D28" s="5">
        <v>42360</v>
      </c>
      <c r="E28" s="5">
        <v>42325</v>
      </c>
      <c r="F28" s="4">
        <v>551.20111083984398</v>
      </c>
      <c r="G28" s="5">
        <v>42326</v>
      </c>
      <c r="H28" s="4">
        <v>520.66583251953102</v>
      </c>
      <c r="I28" s="5">
        <v>42333</v>
      </c>
      <c r="J28" s="4">
        <v>394.968017578125</v>
      </c>
      <c r="K28" cm="1">
        <f t="array" ref="K28">ROWS(_xlfn.UNIQUE(_xlfn._xlws.FILTER('135 Raw Peak Audit'!$G$2:$G$136,('135 Raw Peak Audit'!$A$2:$A$136=$A28)*('135 Raw Peak Audit'!$G$2:$G$136&lt;&gt;""))))</f>
        <v>2</v>
      </c>
      <c r="L28" t="str" cm="1">
        <f t="array" ref="L28">_xlfn.TEXTJOIN("; ",TRUE,_xlfn.UNIQUE(_xlfn._xlws.FILTER('135 Raw Peak Audit'!$I$2:$I$136,('135 Raw Peak Audit'!$A$2:$A$136=$A28)*('135 Raw Peak Audit'!$I$2:$I$136&lt;&gt;""))))</f>
        <v>E03; E04</v>
      </c>
      <c r="M28" t="str" cm="1">
        <f t="array" ref="M28">_xlfn.TEXTJOIN("; ",TRUE,_xlfn.UNIQUE(_xlfn._xlws.FILTER('135 Raw Peak Audit'!$G$2:$G$136,('135 Raw Peak Audit'!$A$2:$A$136=$A28)*('135 Raw Peak Audit'!$G$2:$G$136&lt;&gt;""))))</f>
        <v>Paris attacks and the Saint-Denis anti-terror raid; Turkey shoots down a Russian military aircraft near the Syria border</v>
      </c>
    </row>
    <row r="29" spans="1:13" ht="28.8">
      <c r="A29" s="4" t="s">
        <v>54</v>
      </c>
      <c r="B29" s="5">
        <v>42748</v>
      </c>
      <c r="C29" s="5">
        <v>42739</v>
      </c>
      <c r="D29" s="5">
        <v>42754</v>
      </c>
      <c r="E29" s="5">
        <v>42725</v>
      </c>
      <c r="F29" s="4">
        <v>311.33465576171898</v>
      </c>
      <c r="G29" s="5">
        <v>42734</v>
      </c>
      <c r="H29" s="4">
        <v>247.23635864257801</v>
      </c>
      <c r="I29" s="5">
        <v>42727</v>
      </c>
      <c r="J29" s="4">
        <v>246.60563659668</v>
      </c>
      <c r="K29" cm="1">
        <f t="array" ref="K29">ROWS(_xlfn.UNIQUE(_xlfn._xlws.FILTER('135 Raw Peak Audit'!$G$2:$G$136,('135 Raw Peak Audit'!$A$2:$A$136=$A29)*('135 Raw Peak Audit'!$G$2:$G$136&lt;&gt;""))))</f>
        <v>1</v>
      </c>
      <c r="L29" t="str" cm="1">
        <f t="array" ref="L29">_xlfn.TEXTJOIN("; ",TRUE,_xlfn.UNIQUE(_xlfn._xlws.FILTER('135 Raw Peak Audit'!$I$2:$I$136,('135 Raw Peak Audit'!$A$2:$A$136=$A29)*('135 Raw Peak Audit'!$I$2:$I$136&lt;&gt;""))))</f>
        <v>E21</v>
      </c>
      <c r="M29" t="str" cm="1">
        <f t="array" ref="M29">_xlfn.TEXTJOIN("; ",TRUE,_xlfn.UNIQUE(_xlfn._xlws.FILTER('135 Raw Peak Audit'!$G$2:$G$136,('135 Raw Peak Audit'!$A$2:$A$136=$A29)*('135 Raw Peak Audit'!$G$2:$G$136&lt;&gt;""))))</f>
        <v>Battle of Aleppo and December Syria ceasefire</v>
      </c>
    </row>
    <row r="30" spans="1:13" ht="28.8">
      <c r="A30" s="4" t="s">
        <v>55</v>
      </c>
      <c r="B30" s="5">
        <v>43532</v>
      </c>
      <c r="C30" s="5">
        <v>43514</v>
      </c>
      <c r="D30" s="5">
        <v>43539</v>
      </c>
      <c r="E30" s="5">
        <v>43511</v>
      </c>
      <c r="F30" s="4">
        <v>165.32522583007801</v>
      </c>
      <c r="G30" s="5">
        <v>43524</v>
      </c>
      <c r="H30" s="4">
        <v>153.59866333007801</v>
      </c>
      <c r="I30" s="5">
        <v>43543</v>
      </c>
      <c r="J30" s="4">
        <v>142.805252075195</v>
      </c>
      <c r="K30" cm="1">
        <f t="array" ref="K30">ROWS(_xlfn.UNIQUE(_xlfn._xlws.FILTER('135 Raw Peak Audit'!$G$2:$G$136,('135 Raw Peak Audit'!$A$2:$A$136=$A30)*('135 Raw Peak Audit'!$G$2:$G$136&lt;&gt;""))))</f>
        <v>2</v>
      </c>
      <c r="L30" t="str" cm="1">
        <f t="array" ref="L30">_xlfn.TEXTJOIN("; ",TRUE,_xlfn.UNIQUE(_xlfn._xlws.FILTER('135 Raw Peak Audit'!$I$2:$I$136,('135 Raw Peak Audit'!$A$2:$A$136=$A30)*('135 Raw Peak Audit'!$I$2:$I$136&lt;&gt;""))))</f>
        <v>E25; E26</v>
      </c>
      <c r="M30" t="str" cm="1">
        <f t="array" ref="M30">_xlfn.TEXTJOIN("; ",TRUE,_xlfn.UNIQUE(_xlfn._xlws.FILTER('135 Raw Peak Audit'!$G$2:$G$136,('135 Raw Peak Audit'!$A$2:$A$136=$A30)*('135 Raw Peak Audit'!$G$2:$G$136&lt;&gt;""))))</f>
        <v>India–Pakistan escalation from Pulwama through the Balakot airstrike; Ardern says she will not speak Christchurch suspect's name</v>
      </c>
    </row>
    <row r="31" spans="1:13" ht="28.8">
      <c r="A31" s="4" t="s">
        <v>56</v>
      </c>
      <c r="B31" s="5">
        <v>46105</v>
      </c>
      <c r="C31" s="5">
        <v>46057</v>
      </c>
      <c r="D31" s="5">
        <v>46155</v>
      </c>
      <c r="E31" s="5">
        <v>46091</v>
      </c>
      <c r="F31" s="4">
        <v>627.33221435546898</v>
      </c>
      <c r="G31" s="5">
        <v>46085</v>
      </c>
      <c r="H31" s="4">
        <v>611.76007080078102</v>
      </c>
      <c r="I31" s="5">
        <v>46112</v>
      </c>
      <c r="J31" s="4">
        <v>590.88153076171898</v>
      </c>
      <c r="K31" cm="1">
        <f t="array" ref="K31">ROWS(_xlfn.UNIQUE(_xlfn._xlws.FILTER('135 Raw Peak Audit'!$G$2:$G$136,('135 Raw Peak Audit'!$A$2:$A$136=$A31)*('135 Raw Peak Audit'!$G$2:$G$136&lt;&gt;""))))</f>
        <v>2</v>
      </c>
      <c r="L31" t="str" cm="1">
        <f t="array" ref="L31">_xlfn.TEXTJOIN("; ",TRUE,_xlfn.UNIQUE(_xlfn._xlws.FILTER('135 Raw Peak Audit'!$I$2:$I$136,('135 Raw Peak Audit'!$A$2:$A$136=$A31)*('135 Raw Peak Audit'!$I$2:$I$136&lt;&gt;""))))</f>
        <v>E07; E14</v>
      </c>
      <c r="M31" t="str" cm="1">
        <f t="array" ref="M31">_xlfn.TEXTJOIN("; ",TRUE,_xlfn.UNIQUE(_xlfn._xlws.FILTER('135 Raw Peak Audit'!$G$2:$G$136,('135 Raw Peak Audit'!$A$2:$A$136=$A31)*('135 Raw Peak Audit'!$G$2:$G$136&lt;&gt;""))))</f>
        <v>US–Israeli war with Iran and halt to oil/gas exports through the Strait of Hormuz; Tanker attack in Dubai amid the Iran war and Strait of Hormuz disruption</v>
      </c>
    </row>
    <row r="32" spans="1:13" ht="43.2">
      <c r="A32" s="4" t="s">
        <v>57</v>
      </c>
      <c r="B32" s="5">
        <v>42381</v>
      </c>
      <c r="C32" s="5">
        <v>42361</v>
      </c>
      <c r="D32" s="5">
        <v>42397</v>
      </c>
      <c r="E32" s="5">
        <v>42374</v>
      </c>
      <c r="F32" s="4">
        <v>266.29644775390602</v>
      </c>
      <c r="G32" s="5">
        <v>42376</v>
      </c>
      <c r="H32" s="4">
        <v>264.65521240234398</v>
      </c>
      <c r="I32" s="5">
        <v>42377</v>
      </c>
      <c r="J32" s="4">
        <v>203.20111083984401</v>
      </c>
      <c r="K32" cm="1">
        <f t="array" ref="K32">ROWS(_xlfn.UNIQUE(_xlfn._xlws.FILTER('135 Raw Peak Audit'!$G$2:$G$136,('135 Raw Peak Audit'!$A$2:$A$136=$A32)*('135 Raw Peak Audit'!$G$2:$G$136&lt;&gt;""))))</f>
        <v>1</v>
      </c>
      <c r="L32" t="str" cm="1">
        <f t="array" ref="L32">_xlfn.TEXTJOIN("; ",TRUE,_xlfn.UNIQUE(_xlfn._xlws.FILTER('135 Raw Peak Audit'!$I$2:$I$136,('135 Raw Peak Audit'!$A$2:$A$136=$A32)*('135 Raw Peak Audit'!$I$2:$I$136&lt;&gt;""))))</f>
        <v>E27</v>
      </c>
      <c r="M32" t="str" cm="1">
        <f t="array" ref="M32">_xlfn.TEXTJOIN("; ",TRUE,_xlfn.UNIQUE(_xlfn._xlws.FILTER('135 Raw Peak Audit'!$G$2:$G$136,('135 Raw Peak Audit'!$A$2:$A$136=$A32)*('135 Raw Peak Audit'!$G$2:$G$136&lt;&gt;""))))</f>
        <v>North Korea's announced nuclear test</v>
      </c>
    </row>
    <row r="33" spans="1:13" ht="43.2">
      <c r="A33" s="4" t="s">
        <v>60</v>
      </c>
      <c r="B33" s="5">
        <v>43839</v>
      </c>
      <c r="C33" s="5">
        <v>43823</v>
      </c>
      <c r="D33" s="5">
        <v>43852</v>
      </c>
      <c r="E33" s="5">
        <v>43837</v>
      </c>
      <c r="F33" s="4">
        <v>622.11676025390602</v>
      </c>
      <c r="G33" s="5">
        <v>43839</v>
      </c>
      <c r="H33" s="4">
        <v>551.646240234375</v>
      </c>
      <c r="I33" s="5">
        <v>43836</v>
      </c>
      <c r="J33" s="4">
        <v>320.62907918294297</v>
      </c>
      <c r="K33" cm="1">
        <f t="array" ref="K33">ROWS(_xlfn.UNIQUE(_xlfn._xlws.FILTER('135 Raw Peak Audit'!$G$2:$G$136,('135 Raw Peak Audit'!$A$2:$A$136=$A33)*('135 Raw Peak Audit'!$G$2:$G$136&lt;&gt;""))))</f>
        <v>2</v>
      </c>
      <c r="L33" t="str" cm="1">
        <f t="array" ref="L33">_xlfn.TEXTJOIN("; ",TRUE,_xlfn.UNIQUE(_xlfn._xlws.FILTER('135 Raw Peak Audit'!$I$2:$I$136,('135 Raw Peak Audit'!$A$2:$A$136=$A33)*('135 Raw Peak Audit'!$I$2:$I$136&lt;&gt;""))))</f>
        <v>E19; E18</v>
      </c>
      <c r="M33" t="str" cm="1">
        <f t="array" ref="M33">_xlfn.TEXTJOIN("; ",TRUE,_xlfn.UNIQUE(_xlfn._xlws.FILTER('135 Raw Peak Audit'!$G$2:$G$136,('135 Raw Peak Audit'!$A$2:$A$136=$A33)*('135 Raw Peak Audit'!$G$2:$G$136&lt;&gt;""))))</f>
        <v>US killing of Iranian general Qassem Soleimani; Iran's accidental downing of Ukraine International Airlines Flight PS752</v>
      </c>
    </row>
    <row r="34" spans="1:13" ht="43.2">
      <c r="A34" s="4" t="s">
        <v>61</v>
      </c>
      <c r="B34" s="5">
        <v>44337</v>
      </c>
      <c r="C34" s="5">
        <v>44320</v>
      </c>
      <c r="D34" s="5">
        <v>44354</v>
      </c>
      <c r="E34" s="5">
        <v>44341</v>
      </c>
      <c r="F34" s="4">
        <v>276.60290527343801</v>
      </c>
      <c r="G34" s="5">
        <v>44342</v>
      </c>
      <c r="H34" s="4">
        <v>243.571212768555</v>
      </c>
      <c r="I34" s="5">
        <v>44335</v>
      </c>
      <c r="J34" s="4">
        <v>204.66900634765599</v>
      </c>
      <c r="K34" cm="1">
        <f t="array" ref="K34">ROWS(_xlfn.UNIQUE(_xlfn._xlws.FILTER('135 Raw Peak Audit'!$G$2:$G$136,('135 Raw Peak Audit'!$A$2:$A$136=$A34)*('135 Raw Peak Audit'!$G$2:$G$136&lt;&gt;""))))</f>
        <v>2</v>
      </c>
      <c r="L34" t="str" cm="1">
        <f t="array" ref="L34">_xlfn.TEXTJOIN("; ",TRUE,_xlfn.UNIQUE(_xlfn._xlws.FILTER('135 Raw Peak Audit'!$I$2:$I$136,('135 Raw Peak Audit'!$A$2:$A$136=$A34)*('135 Raw Peak Audit'!$I$2:$I$136&lt;&gt;""))))</f>
        <v>E05; E20</v>
      </c>
      <c r="M34" t="str" cm="1">
        <f t="array" ref="M34">_xlfn.TEXTJOIN("; ",TRUE,_xlfn.UNIQUE(_xlfn._xlws.FILTER('135 Raw Peak Audit'!$G$2:$G$136,('135 Raw Peak Audit'!$A$2:$A$136=$A34)*('135 Raw Peak Audit'!$G$2:$G$136&lt;&gt;""))))</f>
        <v>Israel–Gaza ceasefire and post-conflict reconstruction commitments; May 2021 escalation of hostilities between Israel and Gaza</v>
      </c>
    </row>
    <row r="35" spans="1:13" ht="43.2">
      <c r="A35" s="4" t="s">
        <v>62</v>
      </c>
      <c r="B35" s="5">
        <v>44621</v>
      </c>
      <c r="C35" s="5">
        <v>44602</v>
      </c>
      <c r="D35" s="5">
        <v>44636</v>
      </c>
      <c r="E35" s="5">
        <v>44621</v>
      </c>
      <c r="F35" s="4">
        <v>809.48681640625</v>
      </c>
      <c r="G35" s="5">
        <v>44617</v>
      </c>
      <c r="H35" s="4">
        <v>797.75244140625</v>
      </c>
      <c r="I35" s="5">
        <v>44622</v>
      </c>
      <c r="J35" s="4">
        <v>778.19549560546898</v>
      </c>
      <c r="K35" cm="1">
        <f t="array" ref="K35">ROWS(_xlfn.UNIQUE(_xlfn._xlws.FILTER('135 Raw Peak Audit'!$G$2:$G$136,('135 Raw Peak Audit'!$A$2:$A$136=$A35)*('135 Raw Peak Audit'!$G$2:$G$136&lt;&gt;""))))</f>
        <v>1</v>
      </c>
      <c r="L35" t="str" cm="1">
        <f t="array" ref="L35">_xlfn.TEXTJOIN("; ",TRUE,_xlfn.UNIQUE(_xlfn._xlws.FILTER('135 Raw Peak Audit'!$I$2:$I$136,('135 Raw Peak Audit'!$A$2:$A$136=$A35)*('135 Raw Peak Audit'!$I$2:$I$136&lt;&gt;""))))</f>
        <v>E28</v>
      </c>
      <c r="M35" t="str" cm="1">
        <f t="array" ref="M35">_xlfn.TEXTJOIN("; ",TRUE,_xlfn.UNIQUE(_xlfn._xlws.FILTER('135 Raw Peak Audit'!$G$2:$G$136,('135 Raw Peak Audit'!$A$2:$A$136=$A35)*('135 Raw Peak Audit'!$G$2:$G$136&lt;&gt;""))))</f>
        <v>Russia's full-scale invasion of Ukraine</v>
      </c>
    </row>
    <row r="36" spans="1:13" ht="43.2">
      <c r="A36" s="4" t="s">
        <v>65</v>
      </c>
      <c r="B36" s="5">
        <v>45828</v>
      </c>
      <c r="C36" s="5">
        <v>45813</v>
      </c>
      <c r="D36" s="5">
        <v>45845</v>
      </c>
      <c r="E36" s="5">
        <v>45826</v>
      </c>
      <c r="F36" s="4">
        <v>482.16638183593801</v>
      </c>
      <c r="G36" s="5">
        <v>45833</v>
      </c>
      <c r="H36" s="4">
        <v>462.94183349609398</v>
      </c>
      <c r="I36" s="5">
        <v>45832</v>
      </c>
      <c r="J36" s="4">
        <v>436.04113769531199</v>
      </c>
      <c r="K36" cm="1">
        <f t="array" ref="K36">ROWS(_xlfn.UNIQUE(_xlfn._xlws.FILTER('135 Raw Peak Audit'!$G$2:$G$136,('135 Raw Peak Audit'!$A$2:$A$136=$A36)*('135 Raw Peak Audit'!$G$2:$G$136&lt;&gt;""))))</f>
        <v>1</v>
      </c>
      <c r="L36" t="str" cm="1">
        <f t="array" ref="L36">_xlfn.TEXTJOIN("; ",TRUE,_xlfn.UNIQUE(_xlfn._xlws.FILTER('135 Raw Peak Audit'!$I$2:$I$136,('135 Raw Peak Audit'!$A$2:$A$136=$A36)*('135 Raw Peak Audit'!$I$2:$I$136&lt;&gt;""))))</f>
        <v>E17</v>
      </c>
      <c r="M36" t="str" cm="1">
        <f t="array" ref="M36">_xlfn.TEXTJOIN("; ",TRUE,_xlfn.UNIQUE(_xlfn._xlws.FILTER('135 Raw Peak Audit'!$G$2:$G$136,('135 Raw Peak Audit'!$A$2:$A$136=$A36)*('135 Raw Peak Audit'!$G$2:$G$136&lt;&gt;""))))</f>
        <v>Israel–Iran war, US intervention and June ceasefire</v>
      </c>
    </row>
    <row r="37" spans="1:13" ht="43.2">
      <c r="A37" s="4" t="s">
        <v>66</v>
      </c>
      <c r="B37" s="5">
        <v>41715</v>
      </c>
      <c r="C37" s="5">
        <v>41705</v>
      </c>
      <c r="D37" s="5">
        <v>41723</v>
      </c>
      <c r="E37" s="5">
        <v>41703</v>
      </c>
      <c r="F37" s="4">
        <v>322.08572387695301</v>
      </c>
      <c r="G37" s="5">
        <v>41716</v>
      </c>
      <c r="H37" s="4">
        <v>300.75808715820301</v>
      </c>
      <c r="I37" s="5">
        <v>41702</v>
      </c>
      <c r="J37" s="4">
        <v>267.42755126953102</v>
      </c>
      <c r="K37" cm="1">
        <f t="array" ref="K37">ROWS(_xlfn.UNIQUE(_xlfn._xlws.FILTER('135 Raw Peak Audit'!$G$2:$G$136,('135 Raw Peak Audit'!$A$2:$A$136=$A37)*('135 Raw Peak Audit'!$G$2:$G$136&lt;&gt;""))))</f>
        <v>1</v>
      </c>
      <c r="L37" t="str" cm="1">
        <f t="array" ref="L37">_xlfn.TEXTJOIN("; ",TRUE,_xlfn.UNIQUE(_xlfn._xlws.FILTER('135 Raw Peak Audit'!$I$2:$I$136,('135 Raw Peak Audit'!$A$2:$A$136=$A37)*('135 Raw Peak Audit'!$I$2:$I$136&lt;&gt;""))))</f>
        <v>E29</v>
      </c>
      <c r="M37" t="str" cm="1">
        <f t="array" ref="M37">_xlfn.TEXTJOIN("; ",TRUE,_xlfn.UNIQUE(_xlfn._xlws.FILTER('135 Raw Peak Audit'!$G$2:$G$136,('135 Raw Peak Audit'!$A$2:$A$136=$A37)*('135 Raw Peak Audit'!$G$2:$G$136&lt;&gt;""))))</f>
        <v>Russia's takeover of Crimea / Ukraine crisis</v>
      </c>
    </row>
    <row r="38" spans="1:13" ht="43.2">
      <c r="A38" s="4" t="s">
        <v>69</v>
      </c>
      <c r="B38" s="5">
        <v>41872</v>
      </c>
      <c r="C38" s="5">
        <v>41865</v>
      </c>
      <c r="D38" s="5">
        <v>41879</v>
      </c>
      <c r="E38" s="5">
        <v>41886</v>
      </c>
      <c r="F38" s="4">
        <v>297.44921875</v>
      </c>
      <c r="G38" s="5">
        <v>41884</v>
      </c>
      <c r="H38" s="4">
        <v>294.84829711914102</v>
      </c>
      <c r="I38" s="5">
        <v>41859</v>
      </c>
      <c r="J38" s="4">
        <v>285.30001831054699</v>
      </c>
      <c r="K38" cm="1">
        <f t="array" ref="K38">ROWS(_xlfn.UNIQUE(_xlfn._xlws.FILTER('135 Raw Peak Audit'!$G$2:$G$136,('135 Raw Peak Audit'!$A$2:$A$136=$A38)*('135 Raw Peak Audit'!$G$2:$G$136&lt;&gt;""))))</f>
        <v>3</v>
      </c>
      <c r="L38" t="str" cm="1">
        <f t="array" ref="L38">_xlfn.TEXTJOIN("; ",TRUE,_xlfn.UNIQUE(_xlfn._xlws.FILTER('135 Raw Peak Audit'!$I$2:$I$136,('135 Raw Peak Audit'!$A$2:$A$136=$A38)*('135 Raw Peak Audit'!$I$2:$I$136&lt;&gt;""))))</f>
        <v>E30; E31; E32</v>
      </c>
      <c r="M38" t="str" cm="1">
        <f t="array" ref="M38">_xlfn.TEXTJOIN("; ",TRUE,_xlfn.UNIQUE(_xlfn._xlws.FILTER('135 Raw Peak Audit'!$G$2:$G$136,('135 Raw Peak Audit'!$A$2:$A$136=$A38)*('135 Raw Peak Audit'!$G$2:$G$136&lt;&gt;""))))</f>
        <v>NATO Wales Summit and pledge of support to Ukraine; Islamic State video claiming to show the killing of Steven Sotloff; US airstrikes against ISIS targets in Iraq</v>
      </c>
    </row>
    <row r="39" spans="1:13" ht="43.2">
      <c r="A39" s="4" t="s">
        <v>70</v>
      </c>
      <c r="B39" s="5">
        <v>42338</v>
      </c>
      <c r="C39" s="5">
        <v>42307</v>
      </c>
      <c r="D39" s="5">
        <v>42355</v>
      </c>
      <c r="E39" s="5">
        <v>42325</v>
      </c>
      <c r="F39" s="4">
        <v>266.17459106445301</v>
      </c>
      <c r="G39" s="5">
        <v>42332</v>
      </c>
      <c r="H39" s="4">
        <v>238.09420776367199</v>
      </c>
      <c r="I39" s="5">
        <v>42335</v>
      </c>
      <c r="J39" s="4">
        <v>212.76165771484401</v>
      </c>
      <c r="K39" cm="1">
        <f t="array" ref="K39">ROWS(_xlfn.UNIQUE(_xlfn._xlws.FILTER('135 Raw Peak Audit'!$G$2:$G$136,('135 Raw Peak Audit'!$A$2:$A$136=$A39)*('135 Raw Peak Audit'!$G$2:$G$136&lt;&gt;""))))</f>
        <v>2</v>
      </c>
      <c r="L39" t="str" cm="1">
        <f t="array" ref="L39">_xlfn.TEXTJOIN("; ",TRUE,_xlfn.UNIQUE(_xlfn._xlws.FILTER('135 Raw Peak Audit'!$I$2:$I$136,('135 Raw Peak Audit'!$A$2:$A$136=$A39)*('135 Raw Peak Audit'!$I$2:$I$136&lt;&gt;""))))</f>
        <v>E03; E04</v>
      </c>
      <c r="M39" t="str" cm="1">
        <f t="array" ref="M39">_xlfn.TEXTJOIN("; ",TRUE,_xlfn.UNIQUE(_xlfn._xlws.FILTER('135 Raw Peak Audit'!$G$2:$G$136,('135 Raw Peak Audit'!$A$2:$A$136=$A39)*('135 Raw Peak Audit'!$G$2:$G$136&lt;&gt;""))))</f>
        <v>Paris attacks and the Saint-Denis anti-terror raid; Turkey shoots down a Russian military aircraft near the Syria border</v>
      </c>
    </row>
    <row r="40" spans="1:13" ht="43.2">
      <c r="A40" s="4" t="s">
        <v>71</v>
      </c>
      <c r="B40" s="5">
        <v>43740</v>
      </c>
      <c r="C40" s="5">
        <v>43728</v>
      </c>
      <c r="D40" s="5">
        <v>43746</v>
      </c>
      <c r="E40" s="5">
        <v>43725</v>
      </c>
      <c r="F40" s="4">
        <v>325.92974853515602</v>
      </c>
      <c r="G40" s="5">
        <v>43754</v>
      </c>
      <c r="H40" s="4">
        <v>283.49554443359398</v>
      </c>
      <c r="I40" s="5">
        <v>43727</v>
      </c>
      <c r="J40" s="4">
        <v>240.13623046875</v>
      </c>
      <c r="K40" cm="1">
        <f t="array" ref="K40">ROWS(_xlfn.UNIQUE(_xlfn._xlws.FILTER('135 Raw Peak Audit'!$G$2:$G$136,('135 Raw Peak Audit'!$A$2:$A$136=$A40)*('135 Raw Peak Audit'!$G$2:$G$136&lt;&gt;""))))</f>
        <v>2</v>
      </c>
      <c r="L40" t="str" cm="1">
        <f t="array" ref="L40">_xlfn.TEXTJOIN("; ",TRUE,_xlfn.UNIQUE(_xlfn._xlws.FILTER('135 Raw Peak Audit'!$I$2:$I$136,('135 Raw Peak Audit'!$A$2:$A$136=$A40)*('135 Raw Peak Audit'!$I$2:$I$136&lt;&gt;""))))</f>
        <v>E11; E12</v>
      </c>
      <c r="M40" t="str" cm="1">
        <f t="array" ref="M40">_xlfn.TEXTJOIN("; ",TRUE,_xlfn.UNIQUE(_xlfn._xlws.FILTER('135 Raw Peak Audit'!$G$2:$G$136,('135 Raw Peak Audit'!$A$2:$A$136=$A40)*('135 Raw Peak Audit'!$G$2:$G$136&lt;&gt;""))))</f>
        <v>Attacks on Saudi Aramco facilities and accusations against Iran; Turkey's Operation Peace Spring offensive in north-eastern Syria</v>
      </c>
    </row>
    <row r="41" spans="1:13" ht="43.2">
      <c r="A41" s="4" t="s">
        <v>72</v>
      </c>
      <c r="B41" s="5">
        <v>46112</v>
      </c>
      <c r="C41" s="5">
        <v>46107</v>
      </c>
      <c r="D41" s="5">
        <v>46120</v>
      </c>
      <c r="E41" s="5">
        <v>46112</v>
      </c>
      <c r="F41" s="4">
        <v>492.85354614257801</v>
      </c>
      <c r="G41" s="5">
        <v>46121</v>
      </c>
      <c r="H41" s="4">
        <v>488.78439331054699</v>
      </c>
      <c r="I41" s="5">
        <v>46126</v>
      </c>
      <c r="J41" s="4">
        <v>475.73468017578102</v>
      </c>
      <c r="K41" cm="1">
        <f t="array" ref="K41">ROWS(_xlfn.UNIQUE(_xlfn._xlws.FILTER('135 Raw Peak Audit'!$G$2:$G$136,('135 Raw Peak Audit'!$A$2:$A$136=$A41)*('135 Raw Peak Audit'!$G$2:$G$136&lt;&gt;""))))</f>
        <v>3</v>
      </c>
      <c r="L41" t="str" cm="1">
        <f t="array" ref="L41">_xlfn.TEXTJOIN("; ",TRUE,_xlfn.UNIQUE(_xlfn._xlws.FILTER('135 Raw Peak Audit'!$I$2:$I$136,('135 Raw Peak Audit'!$A$2:$A$136=$A41)*('135 Raw Peak Audit'!$I$2:$I$136&lt;&gt;""))))</f>
        <v>E14; E33; E34</v>
      </c>
      <c r="M41" t="str" cm="1">
        <f t="array" ref="M41">_xlfn.TEXTJOIN("; ",TRUE,_xlfn.UNIQUE(_xlfn._xlws.FILTER('135 Raw Peak Audit'!$G$2:$G$136,('135 Raw Peak Audit'!$A$2:$A$136=$A41)*('135 Raw Peak Audit'!$G$2:$G$136&lt;&gt;""))))</f>
        <v>Tanker attack in Dubai amid the Iran war and Strait of Hormuz disruption; Shipping disruption continues despite the temporary US–Iran ceasefire; US naval blockade of Iranian ports and continuing Strait of Hormuz disruption</v>
      </c>
    </row>
    <row r="42" spans="1:13" ht="43.2">
      <c r="A42" s="4" t="s">
        <v>73</v>
      </c>
      <c r="B42" s="5">
        <v>42941</v>
      </c>
      <c r="C42" s="5">
        <v>42930</v>
      </c>
      <c r="D42" s="5">
        <v>42944</v>
      </c>
      <c r="E42" s="5">
        <v>42957</v>
      </c>
      <c r="F42" s="4">
        <v>330.54043579101602</v>
      </c>
      <c r="G42" s="5">
        <v>42921</v>
      </c>
      <c r="H42" s="4">
        <v>287.85806274414102</v>
      </c>
      <c r="I42" s="5">
        <v>42922</v>
      </c>
      <c r="J42" s="4">
        <v>267.86099243164102</v>
      </c>
      <c r="K42" cm="1">
        <f t="array" ref="K42">ROWS(_xlfn.UNIQUE(_xlfn._xlws.FILTER('135 Raw Peak Audit'!$G$2:$G$136,('135 Raw Peak Audit'!$A$2:$A$136=$A42)*('135 Raw Peak Audit'!$G$2:$G$136&lt;&gt;""))))</f>
        <v>2</v>
      </c>
      <c r="L42" t="str" cm="1">
        <f t="array" ref="L42">_xlfn.TEXTJOIN("; ",TRUE,_xlfn.UNIQUE(_xlfn._xlws.FILTER('135 Raw Peak Audit'!$I$2:$I$136,('135 Raw Peak Audit'!$A$2:$A$136=$A42)*('135 Raw Peak Audit'!$I$2:$I$136&lt;&gt;""))))</f>
        <v>E35; E36</v>
      </c>
      <c r="M42" t="str" cm="1">
        <f t="array" ref="M42">_xlfn.TEXTJOIN("; ",TRUE,_xlfn.UNIQUE(_xlfn._xlws.FILTER('135 Raw Peak Audit'!$G$2:$G$136,('135 Raw Peak Audit'!$A$2:$A$136=$A42)*('135 Raw Peak Audit'!$G$2:$G$136&lt;&gt;""))))</f>
        <v>North Korean threat to strike Guam and Trump 'fire and fury' response; North Korea's first successful intercontinental ballistic missile test of July 2017</v>
      </c>
    </row>
    <row r="43" spans="1:13" ht="43.2">
      <c r="A43" s="4" t="s">
        <v>74</v>
      </c>
      <c r="B43" s="5">
        <v>44628</v>
      </c>
      <c r="C43" s="5">
        <v>44616</v>
      </c>
      <c r="D43" s="5">
        <v>44634</v>
      </c>
      <c r="E43" s="5">
        <v>44621</v>
      </c>
      <c r="F43" s="4">
        <v>809.48681640625</v>
      </c>
      <c r="G43" s="5">
        <v>44617</v>
      </c>
      <c r="H43" s="4">
        <v>797.75244140625</v>
      </c>
      <c r="I43" s="5">
        <v>44622</v>
      </c>
      <c r="J43" s="4">
        <v>778.19549560546898</v>
      </c>
      <c r="K43" cm="1">
        <f t="array" ref="K43">ROWS(_xlfn.UNIQUE(_xlfn._xlws.FILTER('135 Raw Peak Audit'!$G$2:$G$136,('135 Raw Peak Audit'!$A$2:$A$136=$A43)*('135 Raw Peak Audit'!$G$2:$G$136&lt;&gt;""))))</f>
        <v>1</v>
      </c>
      <c r="L43" t="str" cm="1">
        <f t="array" ref="L43">_xlfn.TEXTJOIN("; ",TRUE,_xlfn.UNIQUE(_xlfn._xlws.FILTER('135 Raw Peak Audit'!$I$2:$I$136,('135 Raw Peak Audit'!$A$2:$A$136=$A43)*('135 Raw Peak Audit'!$I$2:$I$136&lt;&gt;""))))</f>
        <v>E28</v>
      </c>
      <c r="M43" t="str" cm="1">
        <f t="array" ref="M43">_xlfn.TEXTJOIN("; ",TRUE,_xlfn.UNIQUE(_xlfn._xlws.FILTER('135 Raw Peak Audit'!$G$2:$G$136,('135 Raw Peak Audit'!$A$2:$A$136=$A43)*('135 Raw Peak Audit'!$G$2:$G$136&lt;&gt;""))))</f>
        <v>Russia's full-scale invasion of Ukraine</v>
      </c>
    </row>
    <row r="44" spans="1:13" ht="43.2">
      <c r="A44" s="4" t="s">
        <v>75</v>
      </c>
      <c r="B44" s="5">
        <v>44757</v>
      </c>
      <c r="C44" s="5">
        <v>44753</v>
      </c>
      <c r="D44" s="5">
        <v>44767</v>
      </c>
      <c r="E44" s="5">
        <v>44777</v>
      </c>
      <c r="F44" s="4">
        <v>285.93466186523398</v>
      </c>
      <c r="G44" s="5">
        <v>44776</v>
      </c>
      <c r="H44" s="4">
        <v>264.58355712890602</v>
      </c>
      <c r="I44" s="5">
        <v>44775</v>
      </c>
      <c r="J44" s="4">
        <v>262.33370971679699</v>
      </c>
      <c r="K44" cm="1">
        <f t="array" ref="K44">ROWS(_xlfn.UNIQUE(_xlfn._xlws.FILTER('135 Raw Peak Audit'!$G$2:$G$136,('135 Raw Peak Audit'!$A$2:$A$136=$A44)*('135 Raw Peak Audit'!$G$2:$G$136&lt;&gt;""))))</f>
        <v>1</v>
      </c>
      <c r="L44" t="str" cm="1">
        <f t="array" ref="L44">_xlfn.TEXTJOIN("; ",TRUE,_xlfn.UNIQUE(_xlfn._xlws.FILTER('135 Raw Peak Audit'!$I$2:$I$136,('135 Raw Peak Audit'!$A$2:$A$136=$A44)*('135 Raw Peak Audit'!$I$2:$I$136&lt;&gt;""))))</f>
        <v>E37</v>
      </c>
      <c r="M44" t="str" cm="1">
        <f t="array" ref="M44">_xlfn.TEXTJOIN("; ",TRUE,_xlfn.UNIQUE(_xlfn._xlws.FILTER('135 Raw Peak Audit'!$G$2:$G$136,('135 Raw Peak Audit'!$A$2:$A$136=$A44)*('135 Raw Peak Audit'!$G$2:$G$136&lt;&gt;""))))</f>
        <v>Nancy Pelosi's Taiwan visit and China's announced military drills</v>
      </c>
    </row>
    <row r="45" spans="1:13" ht="43.2">
      <c r="A45" s="4" t="s">
        <v>78</v>
      </c>
      <c r="B45" s="5">
        <v>45813</v>
      </c>
      <c r="C45" s="5">
        <v>45796</v>
      </c>
      <c r="D45" s="5">
        <v>45821</v>
      </c>
      <c r="E45" s="5">
        <v>45826</v>
      </c>
      <c r="F45" s="4">
        <v>482.16638183593801</v>
      </c>
      <c r="G45" s="5">
        <v>45833</v>
      </c>
      <c r="H45" s="4">
        <v>462.94183349609398</v>
      </c>
      <c r="I45" s="5">
        <v>45832</v>
      </c>
      <c r="J45" s="4">
        <v>436.04113769531199</v>
      </c>
      <c r="K45" cm="1">
        <f t="array" ref="K45">ROWS(_xlfn.UNIQUE(_xlfn._xlws.FILTER('135 Raw Peak Audit'!$G$2:$G$136,('135 Raw Peak Audit'!$A$2:$A$136=$A45)*('135 Raw Peak Audit'!$G$2:$G$136&lt;&gt;""))))</f>
        <v>1</v>
      </c>
      <c r="L45" t="str" cm="1">
        <f t="array" ref="L45">_xlfn.TEXTJOIN("; ",TRUE,_xlfn.UNIQUE(_xlfn._xlws.FILTER('135 Raw Peak Audit'!$I$2:$I$136,('135 Raw Peak Audit'!$A$2:$A$136=$A45)*('135 Raw Peak Audit'!$I$2:$I$136&lt;&gt;""))))</f>
        <v>E17</v>
      </c>
      <c r="M45" t="str" cm="1">
        <f t="array" ref="M45">_xlfn.TEXTJOIN("; ",TRUE,_xlfn.UNIQUE(_xlfn._xlws.FILTER('135 Raw Peak Audit'!$G$2:$G$136,('135 Raw Peak Audit'!$A$2:$A$136=$A45)*('135 Raw Peak Audit'!$G$2:$G$136&lt;&gt;""))))</f>
        <v>Israel–Iran war, US intervention and June ceasefire</v>
      </c>
    </row>
    <row r="46" spans="1:13" ht="43.2">
      <c r="A46" s="6" t="s">
        <v>79</v>
      </c>
      <c r="B46" s="7">
        <v>46105</v>
      </c>
      <c r="C46" s="7">
        <v>46099</v>
      </c>
      <c r="D46" s="7">
        <v>46111</v>
      </c>
      <c r="E46" s="7">
        <v>46085</v>
      </c>
      <c r="F46" s="6">
        <v>548.06591796875</v>
      </c>
      <c r="G46" s="7">
        <v>46112</v>
      </c>
      <c r="H46" s="6">
        <v>492.85354614257801</v>
      </c>
      <c r="I46" s="7">
        <v>46121</v>
      </c>
      <c r="J46" s="6">
        <v>488.78439331054699</v>
      </c>
      <c r="K46" cm="1">
        <f t="array" ref="K46">ROWS(_xlfn.UNIQUE(_xlfn._xlws.FILTER('135 Raw Peak Audit'!$G$2:$G$136,('135 Raw Peak Audit'!$A$2:$A$136=$A46)*('135 Raw Peak Audit'!$G$2:$G$136&lt;&gt;""))))</f>
        <v>3</v>
      </c>
      <c r="L46" t="str" cm="1">
        <f t="array" ref="L46">_xlfn.TEXTJOIN("; ",TRUE,_xlfn.UNIQUE(_xlfn._xlws.FILTER('135 Raw Peak Audit'!$I$2:$I$136,('135 Raw Peak Audit'!$A$2:$A$136=$A46)*('135 Raw Peak Audit'!$I$2:$I$136&lt;&gt;""))))</f>
        <v>E07; E14; E33</v>
      </c>
      <c r="M46" t="str" cm="1">
        <f t="array" ref="M46">_xlfn.TEXTJOIN("; ",TRUE,_xlfn.UNIQUE(_xlfn._xlws.FILTER('135 Raw Peak Audit'!$G$2:$G$136,('135 Raw Peak Audit'!$A$2:$A$136=$A46)*('135 Raw Peak Audit'!$G$2:$G$136&lt;&gt;""))))</f>
        <v>US–Israeli war with Iran and halt to oil/gas exports through the Strait of Hormuz; Tanker attack in Dubai amid the Iran war and Strait of Hormuz disruption; Shipping disruption continues despite the temporary US–Iran ceasefire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36"/>
  <sheetViews>
    <sheetView zoomScale="67" workbookViewId="0">
      <selection activeCell="P6" sqref="P6"/>
    </sheetView>
  </sheetViews>
  <sheetFormatPr defaultRowHeight="14.4"/>
  <cols>
    <col min="1" max="1" width="14.5546875" customWidth="1"/>
    <col min="2" max="2" width="22.77734375" bestFit="1" customWidth="1"/>
    <col min="3" max="3" width="21.33203125" bestFit="1" customWidth="1"/>
    <col min="4" max="4" width="9" bestFit="1" customWidth="1"/>
    <col min="5" max="5" width="21.109375" bestFit="1" customWidth="1"/>
    <col min="6" max="6" width="14.5546875" bestFit="1" customWidth="1"/>
    <col min="7" max="7" width="28" customWidth="1"/>
    <col min="8" max="8" width="15.6640625" customWidth="1"/>
    <col min="9" max="9" width="11.77734375" customWidth="1"/>
    <col min="10" max="10" width="23.33203125" bestFit="1" customWidth="1"/>
    <col min="11" max="11" width="12.33203125" customWidth="1"/>
    <col min="12" max="13" width="18" customWidth="1"/>
    <col min="14" max="14" width="22" customWidth="1"/>
  </cols>
  <sheetData>
    <row r="1" spans="1:14" ht="25.65" customHeight="1">
      <c r="A1" s="8" t="s">
        <v>0</v>
      </c>
      <c r="B1" s="1" t="s">
        <v>80</v>
      </c>
      <c r="C1" s="1" t="s">
        <v>81</v>
      </c>
      <c r="D1" s="1" t="s">
        <v>82</v>
      </c>
      <c r="E1" s="1" t="s">
        <v>83</v>
      </c>
      <c r="F1" s="1" t="s">
        <v>84</v>
      </c>
      <c r="G1" s="13" t="s">
        <v>85</v>
      </c>
      <c r="H1" s="9" t="s">
        <v>10</v>
      </c>
      <c r="I1" s="19" t="s">
        <v>86</v>
      </c>
      <c r="J1" s="19" t="s">
        <v>87</v>
      </c>
      <c r="K1" s="19" t="s">
        <v>88</v>
      </c>
      <c r="L1" s="21" t="s">
        <v>290</v>
      </c>
      <c r="M1" s="21" t="s">
        <v>291</v>
      </c>
      <c r="N1" s="21" t="s">
        <v>292</v>
      </c>
    </row>
    <row r="2" spans="1:14" ht="28.8">
      <c r="A2" s="10" t="s">
        <v>13</v>
      </c>
      <c r="B2" s="3">
        <v>42192</v>
      </c>
      <c r="C2" s="3">
        <v>42212</v>
      </c>
      <c r="D2" s="2">
        <v>1</v>
      </c>
      <c r="E2" s="3">
        <v>42200</v>
      </c>
      <c r="F2" s="2">
        <v>229.97799682617199</v>
      </c>
      <c r="G2" s="14" t="s">
        <v>89</v>
      </c>
      <c r="H2" cm="1">
        <v>2</v>
      </c>
      <c r="I2" s="4" t="str" cm="1">
        <f t="array" ref="I2">IF(G2="","","E"&amp;TEXT(MATCH(G2,_xlfn.UNIQUE(_xlfn._xlws.FILTER($G$2:$G$500,$G$2:$G$500&lt;&gt;"")),0),"00"))</f>
        <v>E01</v>
      </c>
      <c r="J2" s="18">
        <v>42199</v>
      </c>
      <c r="K2" s="17" t="str">
        <f t="shared" ref="K2:K65" si="0">IF(E2&lt;J2-1,"FLAG","OK")</f>
        <v>OK</v>
      </c>
      <c r="L2" s="20">
        <v>42200</v>
      </c>
      <c r="M2" s="20">
        <v>42214</v>
      </c>
      <c r="N2" t="str">
        <f t="shared" ref="N2:N65" si="1">IF(OR(E2&lt;L2,E2&gt;M2),"FLAG","OK")</f>
        <v>OK</v>
      </c>
    </row>
    <row r="3" spans="1:14" ht="28.8">
      <c r="A3" s="11" t="s">
        <v>13</v>
      </c>
      <c r="B3" s="5">
        <v>42192</v>
      </c>
      <c r="C3" s="5">
        <v>42212</v>
      </c>
      <c r="D3" s="4">
        <v>2</v>
      </c>
      <c r="E3" s="5">
        <v>42206</v>
      </c>
      <c r="F3" s="4">
        <v>193.97918701171901</v>
      </c>
      <c r="G3" s="15" t="s">
        <v>91</v>
      </c>
      <c r="H3" cm="1">
        <v>2</v>
      </c>
      <c r="I3" s="4" t="str" cm="1">
        <f t="array" ref="I3">IF(G3="","","E"&amp;TEXT(MATCH(G3,_xlfn.UNIQUE(_xlfn._xlws.FILTER($G$2:$G$500,$G$2:$G$500&lt;&gt;"")),0),"00"))</f>
        <v>E02</v>
      </c>
      <c r="J3" s="18">
        <v>42205</v>
      </c>
      <c r="K3" s="17" t="str">
        <f t="shared" si="0"/>
        <v>OK</v>
      </c>
      <c r="L3" s="20">
        <v>42200</v>
      </c>
      <c r="M3" s="20">
        <v>42214</v>
      </c>
      <c r="N3" t="str">
        <f t="shared" si="1"/>
        <v>OK</v>
      </c>
    </row>
    <row r="4" spans="1:14" ht="28.8">
      <c r="A4" s="11" t="s">
        <v>13</v>
      </c>
      <c r="B4" s="5">
        <v>42192</v>
      </c>
      <c r="C4" s="5">
        <v>42212</v>
      </c>
      <c r="D4" s="4">
        <v>3</v>
      </c>
      <c r="E4" s="5">
        <v>42207</v>
      </c>
      <c r="F4" s="4">
        <v>152.95497131347699</v>
      </c>
      <c r="G4" s="15" t="s">
        <v>91</v>
      </c>
      <c r="H4" cm="1">
        <v>2</v>
      </c>
      <c r="I4" s="4" t="str" cm="1">
        <f t="array" ref="I4">IF(G4="","","E"&amp;TEXT(MATCH(G4,_xlfn.UNIQUE(_xlfn._xlws.FILTER($G$2:$G$500,$G$2:$G$500&lt;&gt;"")),0),"00"))</f>
        <v>E02</v>
      </c>
      <c r="J4" s="18">
        <v>42205</v>
      </c>
      <c r="K4" s="17" t="str">
        <f t="shared" si="0"/>
        <v>OK</v>
      </c>
      <c r="L4" s="20">
        <v>42200</v>
      </c>
      <c r="M4" s="20">
        <v>42214</v>
      </c>
      <c r="N4" t="str">
        <f t="shared" si="1"/>
        <v>OK</v>
      </c>
    </row>
    <row r="5" spans="1:14" ht="28.8">
      <c r="A5" s="11" t="s">
        <v>14</v>
      </c>
      <c r="B5" s="5">
        <v>42314</v>
      </c>
      <c r="C5" s="5">
        <v>42338</v>
      </c>
      <c r="D5" s="4">
        <v>1</v>
      </c>
      <c r="E5" s="5">
        <v>42325</v>
      </c>
      <c r="F5" s="4">
        <v>354.05187988281199</v>
      </c>
      <c r="G5" s="15" t="s">
        <v>93</v>
      </c>
      <c r="H5" cm="1">
        <v>2</v>
      </c>
      <c r="I5" s="4" t="str" cm="1">
        <f t="array" ref="I5">IF(G5="","","E"&amp;TEXT(MATCH(G5,_xlfn.UNIQUE(_xlfn._xlws.FILTER($G$2:$G$500,$G$2:$G$500&lt;&gt;"")),0),"00"))</f>
        <v>E03</v>
      </c>
      <c r="J5" s="18">
        <v>42321</v>
      </c>
      <c r="K5" s="17" t="str">
        <f t="shared" si="0"/>
        <v>OK</v>
      </c>
      <c r="L5" s="20">
        <v>42324</v>
      </c>
      <c r="M5" s="20">
        <v>42338</v>
      </c>
      <c r="N5" t="str">
        <f t="shared" si="1"/>
        <v>OK</v>
      </c>
    </row>
    <row r="6" spans="1:14" ht="28.8">
      <c r="A6" s="11" t="s">
        <v>14</v>
      </c>
      <c r="B6" s="5">
        <v>42314</v>
      </c>
      <c r="C6" s="5">
        <v>42338</v>
      </c>
      <c r="D6" s="4">
        <v>2</v>
      </c>
      <c r="E6" s="5">
        <v>42326</v>
      </c>
      <c r="F6" s="4">
        <v>309.495361328125</v>
      </c>
      <c r="G6" s="15" t="s">
        <v>93</v>
      </c>
      <c r="H6" cm="1">
        <v>2</v>
      </c>
      <c r="I6" s="4" t="str" cm="1">
        <f t="array" ref="I6">IF(G6="","","E"&amp;TEXT(MATCH(G6,_xlfn.UNIQUE(_xlfn._xlws.FILTER($G$2:$G$500,$G$2:$G$500&lt;&gt;"")),0),"00"))</f>
        <v>E03</v>
      </c>
      <c r="J6" s="18">
        <v>42321</v>
      </c>
      <c r="K6" s="17" t="str">
        <f t="shared" si="0"/>
        <v>OK</v>
      </c>
      <c r="L6" s="20">
        <v>42324</v>
      </c>
      <c r="M6" s="20">
        <v>42338</v>
      </c>
      <c r="N6" t="str">
        <f t="shared" si="1"/>
        <v>OK</v>
      </c>
    </row>
    <row r="7" spans="1:14" ht="43.2">
      <c r="A7" s="11" t="s">
        <v>14</v>
      </c>
      <c r="B7" s="5">
        <v>42314</v>
      </c>
      <c r="C7" s="5">
        <v>42338</v>
      </c>
      <c r="D7" s="4">
        <v>3</v>
      </c>
      <c r="E7" s="5">
        <v>42333</v>
      </c>
      <c r="F7" s="4">
        <v>247.6171875</v>
      </c>
      <c r="G7" s="15" t="s">
        <v>95</v>
      </c>
      <c r="H7" cm="1">
        <v>2</v>
      </c>
      <c r="I7" s="4" t="str" cm="1">
        <f t="array" ref="I7">IF(G7="","","E"&amp;TEXT(MATCH(G7,_xlfn.UNIQUE(_xlfn._xlws.FILTER($G$2:$G$500,$G$2:$G$500&lt;&gt;"")),0),"00"))</f>
        <v>E04</v>
      </c>
      <c r="J7" s="18">
        <v>42332</v>
      </c>
      <c r="K7" s="17" t="str">
        <f t="shared" si="0"/>
        <v>OK</v>
      </c>
      <c r="L7" s="20">
        <v>42324</v>
      </c>
      <c r="M7" s="20">
        <v>42338</v>
      </c>
      <c r="N7" t="str">
        <f t="shared" si="1"/>
        <v>OK</v>
      </c>
    </row>
    <row r="8" spans="1:14" ht="43.2">
      <c r="A8" s="11" t="s">
        <v>15</v>
      </c>
      <c r="B8" s="5">
        <v>44320</v>
      </c>
      <c r="C8" s="5">
        <v>44354</v>
      </c>
      <c r="D8" s="4">
        <v>1</v>
      </c>
      <c r="E8" s="5">
        <v>44342</v>
      </c>
      <c r="F8" s="4">
        <v>176.61283874511699</v>
      </c>
      <c r="G8" s="15" t="s">
        <v>17</v>
      </c>
      <c r="H8" cm="1">
        <v>1</v>
      </c>
      <c r="I8" s="4" t="str" cm="1">
        <f t="array" ref="I8">IF(G8="","","E"&amp;TEXT(MATCH(G8,_xlfn.UNIQUE(_xlfn._xlws.FILTER($G$2:$G$500,$G$2:$G$500&lt;&gt;"")),0),"00"))</f>
        <v>E05</v>
      </c>
      <c r="J8" s="18">
        <v>44337</v>
      </c>
      <c r="K8" s="17" t="str">
        <f t="shared" si="0"/>
        <v>OK</v>
      </c>
      <c r="L8" s="20">
        <v>44329</v>
      </c>
      <c r="M8" s="20">
        <v>44343</v>
      </c>
      <c r="N8" t="str">
        <f t="shared" si="1"/>
        <v>OK</v>
      </c>
    </row>
    <row r="9" spans="1:14" ht="43.2">
      <c r="A9" s="11" t="s">
        <v>15</v>
      </c>
      <c r="B9" s="5">
        <v>44320</v>
      </c>
      <c r="C9" s="5">
        <v>44354</v>
      </c>
      <c r="D9" s="4">
        <v>2</v>
      </c>
      <c r="E9" s="5">
        <v>44341</v>
      </c>
      <c r="F9" s="4">
        <v>170.94143676757801</v>
      </c>
      <c r="G9" s="15" t="s">
        <v>17</v>
      </c>
      <c r="H9" cm="1">
        <v>1</v>
      </c>
      <c r="I9" s="4" t="str" cm="1">
        <f t="array" ref="I9">IF(G9="","","E"&amp;TEXT(MATCH(G9,_xlfn.UNIQUE(_xlfn._xlws.FILTER($G$2:$G$500,$G$2:$G$500&lt;&gt;"")),0),"00"))</f>
        <v>E05</v>
      </c>
      <c r="J9" s="18">
        <v>44337</v>
      </c>
      <c r="K9" s="17" t="str">
        <f t="shared" si="0"/>
        <v>OK</v>
      </c>
      <c r="L9" s="20">
        <v>44329</v>
      </c>
      <c r="M9" s="20">
        <v>44343</v>
      </c>
      <c r="N9" t="str">
        <f t="shared" si="1"/>
        <v>OK</v>
      </c>
    </row>
    <row r="10" spans="1:14" ht="43.2">
      <c r="A10" s="11" t="s">
        <v>15</v>
      </c>
      <c r="B10" s="5">
        <v>44320</v>
      </c>
      <c r="C10" s="5">
        <v>44354</v>
      </c>
      <c r="D10" s="4">
        <v>3</v>
      </c>
      <c r="E10" s="5">
        <v>44337</v>
      </c>
      <c r="F10" s="4">
        <v>165.85250854492199</v>
      </c>
      <c r="G10" s="15" t="s">
        <v>17</v>
      </c>
      <c r="H10" cm="1">
        <v>1</v>
      </c>
      <c r="I10" s="4" t="str" cm="1">
        <f t="array" ref="I10">IF(G10="","","E"&amp;TEXT(MATCH(G10,_xlfn.UNIQUE(_xlfn._xlws.FILTER($G$2:$G$500,$G$2:$G$500&lt;&gt;"")),0),"00"))</f>
        <v>E05</v>
      </c>
      <c r="J10" s="18">
        <v>44337</v>
      </c>
      <c r="K10" s="17" t="str">
        <f t="shared" si="0"/>
        <v>OK</v>
      </c>
      <c r="L10" s="20">
        <v>44329</v>
      </c>
      <c r="M10" s="20">
        <v>44343</v>
      </c>
      <c r="N10" t="str">
        <f t="shared" si="1"/>
        <v>OK</v>
      </c>
    </row>
    <row r="11" spans="1:14" ht="28.8">
      <c r="A11" s="11" t="s">
        <v>18</v>
      </c>
      <c r="B11" s="5">
        <v>45719</v>
      </c>
      <c r="C11" s="5">
        <v>45747</v>
      </c>
      <c r="D11" s="4">
        <v>1</v>
      </c>
      <c r="E11" s="5">
        <v>45735</v>
      </c>
      <c r="F11" s="4">
        <v>275.09213256835898</v>
      </c>
      <c r="G11" s="15" t="s">
        <v>20</v>
      </c>
      <c r="H11" cm="1">
        <v>1</v>
      </c>
      <c r="I11" s="4" t="str" cm="1">
        <f t="array" ref="I11">IF(G11="","","E"&amp;TEXT(MATCH(G11,_xlfn.UNIQUE(_xlfn._xlws.FILTER($G$2:$G$500,$G$2:$G$500&lt;&gt;"")),0),"00"))</f>
        <v>E06</v>
      </c>
      <c r="J11" s="18">
        <v>45727</v>
      </c>
      <c r="K11" s="17" t="str">
        <f t="shared" si="0"/>
        <v>OK</v>
      </c>
      <c r="L11" s="20">
        <v>45722</v>
      </c>
      <c r="M11" s="20">
        <v>45736</v>
      </c>
      <c r="N11" t="str">
        <f t="shared" si="1"/>
        <v>OK</v>
      </c>
    </row>
    <row r="12" spans="1:14" ht="28.8">
      <c r="A12" s="11" t="s">
        <v>18</v>
      </c>
      <c r="B12" s="5">
        <v>45719</v>
      </c>
      <c r="C12" s="5">
        <v>45747</v>
      </c>
      <c r="D12" s="4">
        <v>2</v>
      </c>
      <c r="E12" s="5">
        <v>45729</v>
      </c>
      <c r="F12" s="4">
        <v>254.812911987305</v>
      </c>
      <c r="G12" s="15" t="s">
        <v>20</v>
      </c>
      <c r="H12" cm="1">
        <v>1</v>
      </c>
      <c r="I12" s="4" t="str" cm="1">
        <f t="array" ref="I12">IF(G12="","","E"&amp;TEXT(MATCH(G12,_xlfn.UNIQUE(_xlfn._xlws.FILTER($G$2:$G$500,$G$2:$G$500&lt;&gt;"")),0),"00"))</f>
        <v>E06</v>
      </c>
      <c r="J12" s="18">
        <v>45727</v>
      </c>
      <c r="K12" s="17" t="str">
        <f t="shared" si="0"/>
        <v>OK</v>
      </c>
      <c r="L12" s="20">
        <v>45722</v>
      </c>
      <c r="M12" s="20">
        <v>45736</v>
      </c>
      <c r="N12" t="str">
        <f t="shared" si="1"/>
        <v>OK</v>
      </c>
    </row>
    <row r="13" spans="1:14" ht="28.8">
      <c r="A13" s="11" t="s">
        <v>18</v>
      </c>
      <c r="B13" s="5">
        <v>45719</v>
      </c>
      <c r="C13" s="5">
        <v>45747</v>
      </c>
      <c r="D13" s="4">
        <v>3</v>
      </c>
      <c r="E13" s="5">
        <v>45736</v>
      </c>
      <c r="F13" s="4">
        <v>246.20436096191401</v>
      </c>
      <c r="G13" s="15" t="s">
        <v>20</v>
      </c>
      <c r="H13" cm="1">
        <v>1</v>
      </c>
      <c r="I13" s="4" t="str" cm="1">
        <f t="array" ref="I13">IF(G13="","","E"&amp;TEXT(MATCH(G13,_xlfn.UNIQUE(_xlfn._xlws.FILTER($G$2:$G$500,$G$2:$G$500&lt;&gt;"")),0),"00"))</f>
        <v>E06</v>
      </c>
      <c r="J13" s="18">
        <v>45727</v>
      </c>
      <c r="K13" s="17" t="str">
        <f t="shared" si="0"/>
        <v>OK</v>
      </c>
      <c r="L13" s="20">
        <v>45722</v>
      </c>
      <c r="M13" s="20">
        <v>45736</v>
      </c>
      <c r="N13" t="str">
        <f t="shared" si="1"/>
        <v>OK</v>
      </c>
    </row>
    <row r="14" spans="1:14" ht="43.2">
      <c r="A14" s="11" t="s">
        <v>21</v>
      </c>
      <c r="B14" s="5">
        <v>46069</v>
      </c>
      <c r="C14" s="5">
        <v>46097</v>
      </c>
      <c r="D14" s="4">
        <v>1</v>
      </c>
      <c r="E14" s="5">
        <v>46085</v>
      </c>
      <c r="F14" s="4">
        <v>465.91864013671898</v>
      </c>
      <c r="G14" s="15" t="s">
        <v>23</v>
      </c>
      <c r="H14" cm="1">
        <v>1</v>
      </c>
      <c r="I14" s="4" t="str" cm="1">
        <f t="array" ref="I14">IF(G14="","","E"&amp;TEXT(MATCH(G14,_xlfn.UNIQUE(_xlfn._xlws.FILTER($G$2:$G$500,$G$2:$G$500&lt;&gt;"")),0),"00"))</f>
        <v>E07</v>
      </c>
      <c r="J14" s="18">
        <v>46081</v>
      </c>
      <c r="K14" s="17" t="str">
        <f t="shared" si="0"/>
        <v>OK</v>
      </c>
      <c r="L14" s="20">
        <v>46084</v>
      </c>
      <c r="M14" s="20">
        <v>46098</v>
      </c>
      <c r="N14" t="str">
        <f t="shared" si="1"/>
        <v>OK</v>
      </c>
    </row>
    <row r="15" spans="1:14" ht="43.2">
      <c r="A15" s="11" t="s">
        <v>21</v>
      </c>
      <c r="B15" s="5">
        <v>46069</v>
      </c>
      <c r="C15" s="5">
        <v>46097</v>
      </c>
      <c r="D15" s="4">
        <v>2</v>
      </c>
      <c r="E15" s="5">
        <v>46091</v>
      </c>
      <c r="F15" s="4">
        <v>457.110595703125</v>
      </c>
      <c r="G15" s="15" t="s">
        <v>23</v>
      </c>
      <c r="H15" cm="1">
        <v>1</v>
      </c>
      <c r="I15" s="4" t="str" cm="1">
        <f t="array" ref="I15">IF(G15="","","E"&amp;TEXT(MATCH(G15,_xlfn.UNIQUE(_xlfn._xlws.FILTER($G$2:$G$500,$G$2:$G$500&lt;&gt;"")),0),"00"))</f>
        <v>E07</v>
      </c>
      <c r="J15" s="18">
        <v>46081</v>
      </c>
      <c r="K15" s="17" t="str">
        <f t="shared" si="0"/>
        <v>OK</v>
      </c>
      <c r="L15" s="20">
        <v>46084</v>
      </c>
      <c r="M15" s="20">
        <v>46098</v>
      </c>
      <c r="N15" t="str">
        <f t="shared" si="1"/>
        <v>OK</v>
      </c>
    </row>
    <row r="16" spans="1:14" ht="43.2">
      <c r="A16" s="11" t="s">
        <v>21</v>
      </c>
      <c r="B16" s="5">
        <v>46069</v>
      </c>
      <c r="C16" s="5">
        <v>46097</v>
      </c>
      <c r="D16" s="4">
        <v>3</v>
      </c>
      <c r="E16" s="5">
        <v>46086</v>
      </c>
      <c r="F16" s="4">
        <v>413.36315917968801</v>
      </c>
      <c r="G16" s="15" t="s">
        <v>23</v>
      </c>
      <c r="H16" cm="1">
        <v>1</v>
      </c>
      <c r="I16" s="4" t="str" cm="1">
        <f t="array" ref="I16">IF(G16="","","E"&amp;TEXT(MATCH(G16,_xlfn.UNIQUE(_xlfn._xlws.FILTER($G$2:$G$500,$G$2:$G$500&lt;&gt;"")),0),"00"))</f>
        <v>E07</v>
      </c>
      <c r="J16" s="18">
        <v>46081</v>
      </c>
      <c r="K16" s="17" t="str">
        <f t="shared" si="0"/>
        <v>OK</v>
      </c>
      <c r="L16" s="20">
        <v>46084</v>
      </c>
      <c r="M16" s="20">
        <v>46098</v>
      </c>
      <c r="N16" t="str">
        <f t="shared" si="1"/>
        <v>OK</v>
      </c>
    </row>
    <row r="17" spans="1:14" ht="28.8">
      <c r="A17" s="11" t="s">
        <v>24</v>
      </c>
      <c r="B17" s="5">
        <v>42307</v>
      </c>
      <c r="C17" s="5">
        <v>42355</v>
      </c>
      <c r="D17" s="4">
        <v>1</v>
      </c>
      <c r="E17" s="5">
        <v>42325</v>
      </c>
      <c r="F17" s="4">
        <v>354.05187988281199</v>
      </c>
      <c r="G17" s="15" t="s">
        <v>93</v>
      </c>
      <c r="H17" cm="1">
        <v>2</v>
      </c>
      <c r="I17" s="4" t="str" cm="1">
        <f t="array" ref="I17">IF(G17="","","E"&amp;TEXT(MATCH(G17,_xlfn.UNIQUE(_xlfn._xlws.FILTER($G$2:$G$500,$G$2:$G$500&lt;&gt;"")),0),"00"))</f>
        <v>E03</v>
      </c>
      <c r="J17" s="18">
        <v>42321</v>
      </c>
      <c r="K17" s="17" t="str">
        <f t="shared" si="0"/>
        <v>OK</v>
      </c>
      <c r="L17" s="20">
        <v>42324</v>
      </c>
      <c r="M17" s="20">
        <v>42352</v>
      </c>
      <c r="N17" t="str">
        <f t="shared" si="1"/>
        <v>OK</v>
      </c>
    </row>
    <row r="18" spans="1:14" ht="28.8">
      <c r="A18" s="11" t="s">
        <v>24</v>
      </c>
      <c r="B18" s="5">
        <v>42307</v>
      </c>
      <c r="C18" s="5">
        <v>42355</v>
      </c>
      <c r="D18" s="4">
        <v>2</v>
      </c>
      <c r="E18" s="5">
        <v>42326</v>
      </c>
      <c r="F18" s="4">
        <v>309.495361328125</v>
      </c>
      <c r="G18" s="15" t="s">
        <v>93</v>
      </c>
      <c r="H18" cm="1">
        <v>2</v>
      </c>
      <c r="I18" s="4" t="str" cm="1">
        <f t="array" ref="I18">IF(G18="","","E"&amp;TEXT(MATCH(G18,_xlfn.UNIQUE(_xlfn._xlws.FILTER($G$2:$G$500,$G$2:$G$500&lt;&gt;"")),0),"00"))</f>
        <v>E03</v>
      </c>
      <c r="J18" s="18">
        <v>42321</v>
      </c>
      <c r="K18" s="17" t="str">
        <f t="shared" si="0"/>
        <v>OK</v>
      </c>
      <c r="L18" s="20">
        <v>42324</v>
      </c>
      <c r="M18" s="20">
        <v>42352</v>
      </c>
      <c r="N18" t="str">
        <f t="shared" si="1"/>
        <v>OK</v>
      </c>
    </row>
    <row r="19" spans="1:14" ht="43.2">
      <c r="A19" s="11" t="s">
        <v>24</v>
      </c>
      <c r="B19" s="5">
        <v>42307</v>
      </c>
      <c r="C19" s="5">
        <v>42355</v>
      </c>
      <c r="D19" s="4">
        <v>3</v>
      </c>
      <c r="E19" s="5">
        <v>42333</v>
      </c>
      <c r="F19" s="4">
        <v>247.6171875</v>
      </c>
      <c r="G19" s="15" t="s">
        <v>95</v>
      </c>
      <c r="H19" cm="1">
        <v>2</v>
      </c>
      <c r="I19" s="4" t="str" cm="1">
        <f t="array" ref="I19">IF(G19="","","E"&amp;TEXT(MATCH(G19,_xlfn.UNIQUE(_xlfn._xlws.FILTER($G$2:$G$500,$G$2:$G$500&lt;&gt;"")),0),"00"))</f>
        <v>E04</v>
      </c>
      <c r="J19" s="18">
        <v>42332</v>
      </c>
      <c r="K19" s="17" t="str">
        <f t="shared" si="0"/>
        <v>OK</v>
      </c>
      <c r="L19" s="20">
        <v>42324</v>
      </c>
      <c r="M19" s="20">
        <v>42352</v>
      </c>
      <c r="N19" t="str">
        <f t="shared" si="1"/>
        <v>OK</v>
      </c>
    </row>
    <row r="20" spans="1:14" ht="28.8">
      <c r="A20" s="11" t="s">
        <v>25</v>
      </c>
      <c r="B20" s="5">
        <v>42874</v>
      </c>
      <c r="C20" s="5">
        <v>42901</v>
      </c>
      <c r="D20" s="4">
        <v>1</v>
      </c>
      <c r="E20" s="5">
        <v>42893</v>
      </c>
      <c r="F20" s="4">
        <v>245.95683288574199</v>
      </c>
      <c r="G20" s="15" t="s">
        <v>97</v>
      </c>
      <c r="H20" cm="1">
        <v>3</v>
      </c>
      <c r="I20" s="4" t="str" cm="1">
        <f t="array" ref="I20">IF(G20="","","E"&amp;TEXT(MATCH(G20,_xlfn.UNIQUE(_xlfn._xlws.FILTER($G$2:$G$500,$G$2:$G$500&lt;&gt;"")),0),"00"))</f>
        <v>E08</v>
      </c>
      <c r="J20" s="18">
        <v>42893</v>
      </c>
      <c r="K20" s="17" t="str">
        <f t="shared" si="0"/>
        <v>OK</v>
      </c>
      <c r="L20" s="20">
        <v>42879</v>
      </c>
      <c r="M20" s="20">
        <v>42908</v>
      </c>
      <c r="N20" t="str">
        <f t="shared" si="1"/>
        <v>OK</v>
      </c>
    </row>
    <row r="21" spans="1:14" ht="28.8">
      <c r="A21" s="11" t="s">
        <v>25</v>
      </c>
      <c r="B21" s="5">
        <v>42874</v>
      </c>
      <c r="C21" s="5">
        <v>42901</v>
      </c>
      <c r="D21" s="4">
        <v>2</v>
      </c>
      <c r="E21" s="5">
        <v>42892</v>
      </c>
      <c r="F21" s="4">
        <v>227.27735900878901</v>
      </c>
      <c r="G21" s="15" t="s">
        <v>99</v>
      </c>
      <c r="H21" cm="1">
        <v>3</v>
      </c>
      <c r="I21" s="4" t="str" cm="1">
        <f t="array" ref="I21">IF(G21="","","E"&amp;TEXT(MATCH(G21,_xlfn.UNIQUE(_xlfn._xlws.FILTER($G$2:$G$500,$G$2:$G$500&lt;&gt;"")),0),"00"))</f>
        <v>E09</v>
      </c>
      <c r="J21" s="18">
        <v>42891</v>
      </c>
      <c r="K21" s="17" t="str">
        <f t="shared" si="0"/>
        <v>OK</v>
      </c>
      <c r="L21" s="20">
        <v>42879</v>
      </c>
      <c r="M21" s="20">
        <v>42908</v>
      </c>
      <c r="N21" t="str">
        <f t="shared" si="1"/>
        <v>OK</v>
      </c>
    </row>
    <row r="22" spans="1:14" ht="43.2">
      <c r="A22" s="11" t="s">
        <v>25</v>
      </c>
      <c r="B22" s="5">
        <v>42874</v>
      </c>
      <c r="C22" s="5">
        <v>42901</v>
      </c>
      <c r="D22" s="4">
        <v>3</v>
      </c>
      <c r="E22" s="5">
        <v>42881</v>
      </c>
      <c r="F22" s="4">
        <v>218.06872558593801</v>
      </c>
      <c r="G22" s="15" t="s">
        <v>101</v>
      </c>
      <c r="H22" cm="1">
        <v>3</v>
      </c>
      <c r="I22" s="4" t="str" cm="1">
        <f t="array" ref="I22">IF(G22="","","E"&amp;TEXT(MATCH(G22,_xlfn.UNIQUE(_xlfn._xlws.FILTER($G$2:$G$500,$G$2:$G$500&lt;&gt;"")),0),"00"))</f>
        <v>E10</v>
      </c>
      <c r="J22" s="18">
        <v>42879</v>
      </c>
      <c r="K22" s="17" t="str">
        <f t="shared" si="0"/>
        <v>OK</v>
      </c>
      <c r="L22" s="20">
        <v>42879</v>
      </c>
      <c r="M22" s="20">
        <v>42908</v>
      </c>
      <c r="N22" t="str">
        <f t="shared" si="1"/>
        <v>OK</v>
      </c>
    </row>
    <row r="23" spans="1:14" ht="43.2">
      <c r="A23" s="11" t="s">
        <v>26</v>
      </c>
      <c r="B23" s="5">
        <v>43728</v>
      </c>
      <c r="C23" s="5">
        <v>43746</v>
      </c>
      <c r="D23" s="4">
        <v>1</v>
      </c>
      <c r="E23" s="5">
        <v>43725</v>
      </c>
      <c r="F23" s="4">
        <v>253.34211730957</v>
      </c>
      <c r="G23" s="15" t="s">
        <v>103</v>
      </c>
      <c r="H23" cm="1">
        <v>2</v>
      </c>
      <c r="I23" s="4" t="str" cm="1">
        <f t="array" ref="I23">IF(G23="","","E"&amp;TEXT(MATCH(G23,_xlfn.UNIQUE(_xlfn._xlws.FILTER($G$2:$G$500,$G$2:$G$500&lt;&gt;"")),0),"00"))</f>
        <v>E11</v>
      </c>
      <c r="J23" s="18">
        <v>43722</v>
      </c>
      <c r="K23" s="17" t="str">
        <f t="shared" si="0"/>
        <v>OK</v>
      </c>
      <c r="L23" s="20">
        <v>43725</v>
      </c>
      <c r="M23" s="20">
        <v>43754</v>
      </c>
      <c r="N23" t="str">
        <f t="shared" si="1"/>
        <v>OK</v>
      </c>
    </row>
    <row r="24" spans="1:14" ht="28.8">
      <c r="A24" s="11" t="s">
        <v>26</v>
      </c>
      <c r="B24" s="5">
        <v>43728</v>
      </c>
      <c r="C24" s="5">
        <v>43746</v>
      </c>
      <c r="D24" s="4">
        <v>2</v>
      </c>
      <c r="E24" s="5">
        <v>43749</v>
      </c>
      <c r="F24" s="4">
        <v>204.31848144531199</v>
      </c>
      <c r="G24" s="15" t="s">
        <v>105</v>
      </c>
      <c r="H24" cm="1">
        <v>2</v>
      </c>
      <c r="I24" s="4" t="str" cm="1">
        <f t="array" ref="I24">IF(G24="","","E"&amp;TEXT(MATCH(G24,_xlfn.UNIQUE(_xlfn._xlws.FILTER($G$2:$G$500,$G$2:$G$500&lt;&gt;"")),0),"00"))</f>
        <v>E12</v>
      </c>
      <c r="J24" s="18">
        <v>43747</v>
      </c>
      <c r="K24" s="17" t="str">
        <f t="shared" si="0"/>
        <v>OK</v>
      </c>
      <c r="L24" s="20">
        <v>43725</v>
      </c>
      <c r="M24" s="20">
        <v>43754</v>
      </c>
      <c r="N24" t="str">
        <f t="shared" si="1"/>
        <v>OK</v>
      </c>
    </row>
    <row r="25" spans="1:14" ht="28.8">
      <c r="A25" s="11" t="s">
        <v>26</v>
      </c>
      <c r="B25" s="5">
        <v>43728</v>
      </c>
      <c r="C25" s="5">
        <v>43746</v>
      </c>
      <c r="D25" s="4">
        <v>3</v>
      </c>
      <c r="E25" s="5">
        <v>43754</v>
      </c>
      <c r="F25" s="4">
        <v>193.50186157226599</v>
      </c>
      <c r="G25" s="15" t="s">
        <v>105</v>
      </c>
      <c r="H25" cm="1">
        <v>2</v>
      </c>
      <c r="I25" s="4" t="str" cm="1">
        <f t="array" ref="I25">IF(G25="","","E"&amp;TEXT(MATCH(G25,_xlfn.UNIQUE(_xlfn._xlws.FILTER($G$2:$G$500,$G$2:$G$500&lt;&gt;"")),0),"00"))</f>
        <v>E12</v>
      </c>
      <c r="J25" s="18">
        <v>43747</v>
      </c>
      <c r="K25" s="17" t="str">
        <f t="shared" si="0"/>
        <v>OK</v>
      </c>
      <c r="L25" s="20">
        <v>43725</v>
      </c>
      <c r="M25" s="20">
        <v>43754</v>
      </c>
      <c r="N25" t="str">
        <f t="shared" si="1"/>
        <v>OK</v>
      </c>
    </row>
    <row r="26" spans="1:14" ht="28.8">
      <c r="A26" s="11" t="s">
        <v>27</v>
      </c>
      <c r="B26" s="5">
        <v>45062</v>
      </c>
      <c r="C26" s="5">
        <v>45077</v>
      </c>
      <c r="D26" s="4">
        <v>1</v>
      </c>
      <c r="E26" s="5">
        <v>45077</v>
      </c>
      <c r="F26" s="4">
        <v>219.58306884765599</v>
      </c>
      <c r="G26" s="15" t="s">
        <v>29</v>
      </c>
      <c r="H26" cm="1">
        <v>1</v>
      </c>
      <c r="I26" s="4" t="str" cm="1">
        <f t="array" ref="I26">IF(G26="","","E"&amp;TEXT(MATCH(G26,_xlfn.UNIQUE(_xlfn._xlws.FILTER($G$2:$G$500,$G$2:$G$500&lt;&gt;"")),0),"00"))</f>
        <v>E13</v>
      </c>
      <c r="J26" s="18">
        <v>45068</v>
      </c>
      <c r="K26" s="17" t="str">
        <f t="shared" si="0"/>
        <v>OK</v>
      </c>
      <c r="L26" s="20">
        <v>45056</v>
      </c>
      <c r="M26" s="20">
        <v>45084</v>
      </c>
      <c r="N26" t="str">
        <f t="shared" si="1"/>
        <v>OK</v>
      </c>
    </row>
    <row r="27" spans="1:14" ht="28.8">
      <c r="A27" s="11" t="s">
        <v>27</v>
      </c>
      <c r="B27" s="5">
        <v>45062</v>
      </c>
      <c r="C27" s="5">
        <v>45077</v>
      </c>
      <c r="D27" s="4">
        <v>2</v>
      </c>
      <c r="E27" s="5">
        <v>45069</v>
      </c>
      <c r="F27" s="4">
        <v>183.69136047363301</v>
      </c>
      <c r="G27" s="15" t="s">
        <v>29</v>
      </c>
      <c r="H27" cm="1">
        <v>1</v>
      </c>
      <c r="I27" s="4" t="str" cm="1">
        <f t="array" ref="I27">IF(G27="","","E"&amp;TEXT(MATCH(G27,_xlfn.UNIQUE(_xlfn._xlws.FILTER($G$2:$G$500,$G$2:$G$500&lt;&gt;"")),0),"00"))</f>
        <v>E13</v>
      </c>
      <c r="J27" s="18">
        <v>45068</v>
      </c>
      <c r="K27" s="17" t="str">
        <f t="shared" si="0"/>
        <v>OK</v>
      </c>
      <c r="L27" s="20">
        <v>45056</v>
      </c>
      <c r="M27" s="20">
        <v>45084</v>
      </c>
      <c r="N27" t="str">
        <f t="shared" si="1"/>
        <v>OK</v>
      </c>
    </row>
    <row r="28" spans="1:14" ht="28.8">
      <c r="A28" s="11" t="s">
        <v>27</v>
      </c>
      <c r="B28" s="5">
        <v>45062</v>
      </c>
      <c r="C28" s="5">
        <v>45077</v>
      </c>
      <c r="D28" s="4">
        <v>3</v>
      </c>
      <c r="E28" s="5">
        <v>45078</v>
      </c>
      <c r="F28" s="4">
        <v>182.39715576171901</v>
      </c>
      <c r="G28" s="15" t="s">
        <v>29</v>
      </c>
      <c r="H28" cm="1">
        <v>1</v>
      </c>
      <c r="I28" s="4" t="str" cm="1">
        <f t="array" ref="I28">IF(G28="","","E"&amp;TEXT(MATCH(G28,_xlfn.UNIQUE(_xlfn._xlws.FILTER($G$2:$G$500,$G$2:$G$500&lt;&gt;"")),0),"00"))</f>
        <v>E13</v>
      </c>
      <c r="J28" s="18">
        <v>45068</v>
      </c>
      <c r="K28" s="17" t="str">
        <f t="shared" si="0"/>
        <v>OK</v>
      </c>
      <c r="L28" s="20">
        <v>45056</v>
      </c>
      <c r="M28" s="20">
        <v>45084</v>
      </c>
      <c r="N28" t="str">
        <f t="shared" si="1"/>
        <v>OK</v>
      </c>
    </row>
    <row r="29" spans="1:14" ht="43.2">
      <c r="A29" s="11" t="s">
        <v>30</v>
      </c>
      <c r="B29" s="5">
        <v>46064</v>
      </c>
      <c r="C29" s="5">
        <v>46104</v>
      </c>
      <c r="D29" s="4">
        <v>1</v>
      </c>
      <c r="E29" s="5">
        <v>46085</v>
      </c>
      <c r="F29" s="4">
        <v>465.91864013671898</v>
      </c>
      <c r="G29" s="15" t="s">
        <v>23</v>
      </c>
      <c r="H29" cm="1">
        <v>2</v>
      </c>
      <c r="I29" s="4" t="str" cm="1">
        <f t="array" ref="I29">IF(G29="","","E"&amp;TEXT(MATCH(G29,_xlfn.UNIQUE(_xlfn._xlws.FILTER($G$2:$G$500,$G$2:$G$500&lt;&gt;"")),0),"00"))</f>
        <v>E07</v>
      </c>
      <c r="J29" s="18">
        <v>46081</v>
      </c>
      <c r="K29" s="17" t="str">
        <f t="shared" si="0"/>
        <v>OK</v>
      </c>
      <c r="L29" s="20">
        <v>46084</v>
      </c>
      <c r="M29" s="20">
        <v>46112</v>
      </c>
      <c r="N29" t="str">
        <f t="shared" si="1"/>
        <v>OK</v>
      </c>
    </row>
    <row r="30" spans="1:14" ht="43.2">
      <c r="A30" s="11" t="s">
        <v>30</v>
      </c>
      <c r="B30" s="5">
        <v>46064</v>
      </c>
      <c r="C30" s="5">
        <v>46104</v>
      </c>
      <c r="D30" s="4">
        <v>2</v>
      </c>
      <c r="E30" s="5">
        <v>46091</v>
      </c>
      <c r="F30" s="4">
        <v>457.110595703125</v>
      </c>
      <c r="G30" s="15" t="s">
        <v>23</v>
      </c>
      <c r="H30" cm="1">
        <v>2</v>
      </c>
      <c r="I30" s="4" t="str" cm="1">
        <f t="array" ref="I30">IF(G30="","","E"&amp;TEXT(MATCH(G30,_xlfn.UNIQUE(_xlfn._xlws.FILTER($G$2:$G$500,$G$2:$G$500&lt;&gt;"")),0),"00"))</f>
        <v>E07</v>
      </c>
      <c r="J30" s="18">
        <v>46081</v>
      </c>
      <c r="K30" s="17" t="str">
        <f t="shared" si="0"/>
        <v>OK</v>
      </c>
      <c r="L30" s="20">
        <v>46084</v>
      </c>
      <c r="M30" s="20">
        <v>46112</v>
      </c>
      <c r="N30" t="str">
        <f t="shared" si="1"/>
        <v>OK</v>
      </c>
    </row>
    <row r="31" spans="1:14" ht="43.2">
      <c r="A31" s="11" t="s">
        <v>30</v>
      </c>
      <c r="B31" s="5">
        <v>46064</v>
      </c>
      <c r="C31" s="5">
        <v>46104</v>
      </c>
      <c r="D31" s="4">
        <v>3</v>
      </c>
      <c r="E31" s="5">
        <v>46112</v>
      </c>
      <c r="F31" s="4">
        <v>447.822265625</v>
      </c>
      <c r="G31" s="15" t="s">
        <v>107</v>
      </c>
      <c r="H31" cm="1">
        <v>2</v>
      </c>
      <c r="I31" s="4" t="str" cm="1">
        <f t="array" ref="I31">IF(G31="","","E"&amp;TEXT(MATCH(G31,_xlfn.UNIQUE(_xlfn._xlws.FILTER($G$2:$G$500,$G$2:$G$500&lt;&gt;"")),0),"00"))</f>
        <v>E14</v>
      </c>
      <c r="J31" s="18">
        <v>46112</v>
      </c>
      <c r="K31" s="17" t="str">
        <f t="shared" si="0"/>
        <v>OK</v>
      </c>
      <c r="L31" s="20">
        <v>46084</v>
      </c>
      <c r="M31" s="20">
        <v>46112</v>
      </c>
      <c r="N31" t="str">
        <f t="shared" si="1"/>
        <v>OK</v>
      </c>
    </row>
    <row r="32" spans="1:14" ht="43.2">
      <c r="A32" s="11" t="s">
        <v>31</v>
      </c>
      <c r="B32" s="5">
        <v>44309</v>
      </c>
      <c r="C32" s="5">
        <v>44334</v>
      </c>
      <c r="D32" s="4">
        <v>1</v>
      </c>
      <c r="E32" s="5">
        <v>44300</v>
      </c>
      <c r="F32" s="4">
        <v>186.30352783203099</v>
      </c>
      <c r="G32" s="15" t="s">
        <v>109</v>
      </c>
      <c r="H32" cm="1">
        <v>2</v>
      </c>
      <c r="I32" s="4" t="str" cm="1">
        <f t="array" ref="I32">IF(G32="","","E"&amp;TEXT(MATCH(G32,_xlfn.UNIQUE(_xlfn._xlws.FILTER($G$2:$G$500,$G$2:$G$500&lt;&gt;"")),0),"00"))</f>
        <v>E15</v>
      </c>
      <c r="J32" s="18">
        <v>44300</v>
      </c>
      <c r="K32" s="17" t="str">
        <f t="shared" si="0"/>
        <v>OK</v>
      </c>
      <c r="L32" s="20">
        <v>44300</v>
      </c>
      <c r="M32" s="20">
        <v>44343</v>
      </c>
      <c r="N32" t="str">
        <f t="shared" si="1"/>
        <v>OK</v>
      </c>
    </row>
    <row r="33" spans="1:14" ht="43.2">
      <c r="A33" s="11" t="s">
        <v>31</v>
      </c>
      <c r="B33" s="5">
        <v>44309</v>
      </c>
      <c r="C33" s="5">
        <v>44334</v>
      </c>
      <c r="D33" s="4">
        <v>2</v>
      </c>
      <c r="E33" s="5">
        <v>44342</v>
      </c>
      <c r="F33" s="4">
        <v>176.61283874511699</v>
      </c>
      <c r="G33" s="15" t="s">
        <v>17</v>
      </c>
      <c r="H33" cm="1">
        <v>2</v>
      </c>
      <c r="I33" s="4" t="str" cm="1">
        <f t="array" ref="I33">IF(G33="","","E"&amp;TEXT(MATCH(G33,_xlfn.UNIQUE(_xlfn._xlws.FILTER($G$2:$G$500,$G$2:$G$500&lt;&gt;"")),0),"00"))</f>
        <v>E05</v>
      </c>
      <c r="J33" s="18">
        <v>44337</v>
      </c>
      <c r="K33" s="17" t="str">
        <f t="shared" si="0"/>
        <v>OK</v>
      </c>
      <c r="L33" s="20">
        <v>44300</v>
      </c>
      <c r="M33" s="20">
        <v>44343</v>
      </c>
      <c r="N33" t="str">
        <f t="shared" si="1"/>
        <v>OK</v>
      </c>
    </row>
    <row r="34" spans="1:14" ht="43.2">
      <c r="A34" s="11" t="s">
        <v>31</v>
      </c>
      <c r="B34" s="5">
        <v>44309</v>
      </c>
      <c r="C34" s="5">
        <v>44334</v>
      </c>
      <c r="D34" s="4">
        <v>3</v>
      </c>
      <c r="E34" s="5">
        <v>44341</v>
      </c>
      <c r="F34" s="4">
        <v>170.94143676757801</v>
      </c>
      <c r="G34" s="15" t="s">
        <v>17</v>
      </c>
      <c r="H34" cm="1">
        <v>2</v>
      </c>
      <c r="I34" s="4" t="str" cm="1">
        <f t="array" ref="I34">IF(G34="","","E"&amp;TEXT(MATCH(G34,_xlfn.UNIQUE(_xlfn._xlws.FILTER($G$2:$G$500,$G$2:$G$500&lt;&gt;"")),0),"00"))</f>
        <v>E05</v>
      </c>
      <c r="J34" s="18">
        <v>44337</v>
      </c>
      <c r="K34" s="17" t="str">
        <f t="shared" si="0"/>
        <v>OK</v>
      </c>
      <c r="L34" s="20">
        <v>44300</v>
      </c>
      <c r="M34" s="20">
        <v>44343</v>
      </c>
      <c r="N34" t="str">
        <f t="shared" si="1"/>
        <v>OK</v>
      </c>
    </row>
    <row r="35" spans="1:14" ht="43.2">
      <c r="A35" s="11" t="s">
        <v>32</v>
      </c>
      <c r="B35" s="5">
        <v>44334</v>
      </c>
      <c r="C35" s="5">
        <v>44369</v>
      </c>
      <c r="D35" s="4">
        <v>1</v>
      </c>
      <c r="E35" s="5">
        <v>44342</v>
      </c>
      <c r="F35" s="4">
        <v>176.61283874511699</v>
      </c>
      <c r="G35" s="15" t="s">
        <v>17</v>
      </c>
      <c r="H35" cm="1">
        <v>1</v>
      </c>
      <c r="I35" s="4" t="str" cm="1">
        <f t="array" ref="I35">IF(G35="","","E"&amp;TEXT(MATCH(G35,_xlfn.UNIQUE(_xlfn._xlws.FILTER($G$2:$G$500,$G$2:$G$500&lt;&gt;"")),0),"00"))</f>
        <v>E05</v>
      </c>
      <c r="J35" s="18">
        <v>44337</v>
      </c>
      <c r="K35" s="17" t="str">
        <f t="shared" si="0"/>
        <v>OK</v>
      </c>
      <c r="L35" s="20">
        <v>44327</v>
      </c>
      <c r="M35" s="20">
        <v>44370</v>
      </c>
      <c r="N35" t="str">
        <f t="shared" si="1"/>
        <v>OK</v>
      </c>
    </row>
    <row r="36" spans="1:14" ht="43.2">
      <c r="A36" s="11" t="s">
        <v>32</v>
      </c>
      <c r="B36" s="5">
        <v>44334</v>
      </c>
      <c r="C36" s="5">
        <v>44369</v>
      </c>
      <c r="D36" s="4">
        <v>2</v>
      </c>
      <c r="E36" s="5">
        <v>44341</v>
      </c>
      <c r="F36" s="4">
        <v>170.94143676757801</v>
      </c>
      <c r="G36" s="15" t="s">
        <v>17</v>
      </c>
      <c r="H36" cm="1">
        <v>1</v>
      </c>
      <c r="I36" s="4" t="str" cm="1">
        <f t="array" ref="I36">IF(G36="","","E"&amp;TEXT(MATCH(G36,_xlfn.UNIQUE(_xlfn._xlws.FILTER($G$2:$G$500,$G$2:$G$500&lt;&gt;"")),0),"00"))</f>
        <v>E05</v>
      </c>
      <c r="J36" s="18">
        <v>44337</v>
      </c>
      <c r="K36" s="17" t="str">
        <f t="shared" si="0"/>
        <v>OK</v>
      </c>
      <c r="L36" s="20">
        <v>44327</v>
      </c>
      <c r="M36" s="20">
        <v>44370</v>
      </c>
      <c r="N36" t="str">
        <f t="shared" si="1"/>
        <v>OK</v>
      </c>
    </row>
    <row r="37" spans="1:14" ht="43.2">
      <c r="A37" s="11" t="s">
        <v>32</v>
      </c>
      <c r="B37" s="5">
        <v>44334</v>
      </c>
      <c r="C37" s="5">
        <v>44369</v>
      </c>
      <c r="D37" s="4">
        <v>3</v>
      </c>
      <c r="E37" s="5">
        <v>44369</v>
      </c>
      <c r="F37" s="4">
        <v>170.60433959960901</v>
      </c>
      <c r="G37" s="15" t="s">
        <v>17</v>
      </c>
      <c r="H37" cm="1">
        <v>1</v>
      </c>
      <c r="I37" s="4" t="str" cm="1">
        <f t="array" ref="I37">IF(G37="","","E"&amp;TEXT(MATCH(G37,_xlfn.UNIQUE(_xlfn._xlws.FILTER($G$2:$G$500,$G$2:$G$500&lt;&gt;"")),0),"00"))</f>
        <v>E05</v>
      </c>
      <c r="J37" s="18">
        <v>44337</v>
      </c>
      <c r="K37" s="17" t="str">
        <f t="shared" si="0"/>
        <v>OK</v>
      </c>
      <c r="L37" s="20">
        <v>44327</v>
      </c>
      <c r="M37" s="20">
        <v>44370</v>
      </c>
      <c r="N37" t="str">
        <f t="shared" si="1"/>
        <v>OK</v>
      </c>
    </row>
    <row r="38" spans="1:14" ht="28.8">
      <c r="A38" s="11" t="s">
        <v>33</v>
      </c>
      <c r="B38" s="5">
        <v>45215</v>
      </c>
      <c r="C38" s="5">
        <v>45251</v>
      </c>
      <c r="D38" s="4">
        <v>1</v>
      </c>
      <c r="E38" s="5">
        <v>45218</v>
      </c>
      <c r="F38" s="4">
        <v>338.85171508789102</v>
      </c>
      <c r="G38" s="15" t="s">
        <v>35</v>
      </c>
      <c r="H38" cm="1">
        <v>1</v>
      </c>
      <c r="I38" s="4" t="str" cm="1">
        <f t="array" ref="I38">IF(G38="","","E"&amp;TEXT(MATCH(G38,_xlfn.UNIQUE(_xlfn._xlws.FILTER($G$2:$G$500,$G$2:$G$500&lt;&gt;"")),0),"00"))</f>
        <v>E16</v>
      </c>
      <c r="J38" s="18">
        <v>45206</v>
      </c>
      <c r="K38" s="17" t="str">
        <f t="shared" si="0"/>
        <v>OK</v>
      </c>
      <c r="L38" s="20">
        <v>45205</v>
      </c>
      <c r="M38" s="20">
        <v>45247</v>
      </c>
      <c r="N38" t="str">
        <f t="shared" si="1"/>
        <v>OK</v>
      </c>
    </row>
    <row r="39" spans="1:14" ht="28.8">
      <c r="A39" s="11" t="s">
        <v>33</v>
      </c>
      <c r="B39" s="5">
        <v>45215</v>
      </c>
      <c r="C39" s="5">
        <v>45251</v>
      </c>
      <c r="D39" s="4">
        <v>2</v>
      </c>
      <c r="E39" s="5">
        <v>45217</v>
      </c>
      <c r="F39" s="4">
        <v>333.00942993164102</v>
      </c>
      <c r="G39" s="15" t="s">
        <v>35</v>
      </c>
      <c r="H39" cm="1">
        <v>1</v>
      </c>
      <c r="I39" s="4" t="str" cm="1">
        <f t="array" ref="I39">IF(G39="","","E"&amp;TEXT(MATCH(G39,_xlfn.UNIQUE(_xlfn._xlws.FILTER($G$2:$G$500,$G$2:$G$500&lt;&gt;"")),0),"00"))</f>
        <v>E16</v>
      </c>
      <c r="J39" s="18">
        <v>45206</v>
      </c>
      <c r="K39" s="17" t="str">
        <f t="shared" si="0"/>
        <v>OK</v>
      </c>
      <c r="L39" s="20">
        <v>45205</v>
      </c>
      <c r="M39" s="20">
        <v>45247</v>
      </c>
      <c r="N39" t="str">
        <f t="shared" si="1"/>
        <v>OK</v>
      </c>
    </row>
    <row r="40" spans="1:14" ht="28.8">
      <c r="A40" s="11" t="s">
        <v>33</v>
      </c>
      <c r="B40" s="5">
        <v>45215</v>
      </c>
      <c r="C40" s="5">
        <v>45251</v>
      </c>
      <c r="D40" s="4">
        <v>3</v>
      </c>
      <c r="E40" s="5">
        <v>45219</v>
      </c>
      <c r="F40" s="4">
        <v>298.62881469726602</v>
      </c>
      <c r="G40" s="15" t="s">
        <v>35</v>
      </c>
      <c r="H40" cm="1">
        <v>1</v>
      </c>
      <c r="I40" s="4" t="str" cm="1">
        <f t="array" ref="I40">IF(G40="","","E"&amp;TEXT(MATCH(G40,_xlfn.UNIQUE(_xlfn._xlws.FILTER($G$2:$G$500,$G$2:$G$500&lt;&gt;"")),0),"00"))</f>
        <v>E16</v>
      </c>
      <c r="J40" s="18">
        <v>45206</v>
      </c>
      <c r="K40" s="17" t="str">
        <f t="shared" si="0"/>
        <v>OK</v>
      </c>
      <c r="L40" s="20">
        <v>45205</v>
      </c>
      <c r="M40" s="20">
        <v>45247</v>
      </c>
      <c r="N40" t="str">
        <f t="shared" si="1"/>
        <v>OK</v>
      </c>
    </row>
    <row r="41" spans="1:14" ht="28.8">
      <c r="A41" s="11" t="s">
        <v>36</v>
      </c>
      <c r="B41" s="5">
        <v>45805</v>
      </c>
      <c r="C41" s="5">
        <v>45821</v>
      </c>
      <c r="D41" s="4">
        <v>1</v>
      </c>
      <c r="E41" s="5">
        <v>45832</v>
      </c>
      <c r="F41" s="4">
        <v>351.72052001953102</v>
      </c>
      <c r="G41" s="15" t="s">
        <v>38</v>
      </c>
      <c r="H41" cm="1">
        <v>1</v>
      </c>
      <c r="I41" s="4" t="str" cm="1">
        <f t="array" ref="I41">IF(G41="","","E"&amp;TEXT(MATCH(G41,_xlfn.UNIQUE(_xlfn._xlws.FILTER($G$2:$G$500,$G$2:$G$500&lt;&gt;"")),0),"00"))</f>
        <v>E17</v>
      </c>
      <c r="J41" s="18">
        <v>45821</v>
      </c>
      <c r="K41" s="17" t="str">
        <f t="shared" si="0"/>
        <v>OK</v>
      </c>
      <c r="L41" s="20">
        <v>45792</v>
      </c>
      <c r="M41" s="20">
        <v>45835</v>
      </c>
      <c r="N41" t="str">
        <f t="shared" si="1"/>
        <v>OK</v>
      </c>
    </row>
    <row r="42" spans="1:14" ht="28.8">
      <c r="A42" s="11" t="s">
        <v>36</v>
      </c>
      <c r="B42" s="5">
        <v>45805</v>
      </c>
      <c r="C42" s="5">
        <v>45821</v>
      </c>
      <c r="D42" s="4">
        <v>2</v>
      </c>
      <c r="E42" s="5">
        <v>45833</v>
      </c>
      <c r="F42" s="4">
        <v>328.47311401367199</v>
      </c>
      <c r="G42" s="15" t="s">
        <v>38</v>
      </c>
      <c r="H42" cm="1">
        <v>1</v>
      </c>
      <c r="I42" s="4" t="str" cm="1">
        <f t="array" ref="I42">IF(G42="","","E"&amp;TEXT(MATCH(G42,_xlfn.UNIQUE(_xlfn._xlws.FILTER($G$2:$G$500,$G$2:$G$500&lt;&gt;"")),0),"00"))</f>
        <v>E17</v>
      </c>
      <c r="J42" s="18">
        <v>45821</v>
      </c>
      <c r="K42" s="17" t="str">
        <f t="shared" si="0"/>
        <v>OK</v>
      </c>
      <c r="L42" s="20">
        <v>45792</v>
      </c>
      <c r="M42" s="20">
        <v>45835</v>
      </c>
      <c r="N42" t="str">
        <f t="shared" si="1"/>
        <v>OK</v>
      </c>
    </row>
    <row r="43" spans="1:14" ht="28.8">
      <c r="A43" s="11" t="s">
        <v>36</v>
      </c>
      <c r="B43" s="5">
        <v>45805</v>
      </c>
      <c r="C43" s="5">
        <v>45821</v>
      </c>
      <c r="D43" s="4">
        <v>3</v>
      </c>
      <c r="E43" s="5">
        <v>45826</v>
      </c>
      <c r="F43" s="4">
        <v>320.77005004882801</v>
      </c>
      <c r="G43" s="15" t="s">
        <v>38</v>
      </c>
      <c r="H43" cm="1">
        <v>1</v>
      </c>
      <c r="I43" s="4" t="str" cm="1">
        <f t="array" ref="I43">IF(G43="","","E"&amp;TEXT(MATCH(G43,_xlfn.UNIQUE(_xlfn._xlws.FILTER($G$2:$G$500,$G$2:$G$500&lt;&gt;"")),0),"00"))</f>
        <v>E17</v>
      </c>
      <c r="J43" s="18">
        <v>45821</v>
      </c>
      <c r="K43" s="17" t="str">
        <f t="shared" si="0"/>
        <v>OK</v>
      </c>
      <c r="L43" s="20">
        <v>45792</v>
      </c>
      <c r="M43" s="20">
        <v>45835</v>
      </c>
      <c r="N43" t="str">
        <f t="shared" si="1"/>
        <v>OK</v>
      </c>
    </row>
    <row r="44" spans="1:14" ht="43.2">
      <c r="A44" s="11" t="s">
        <v>39</v>
      </c>
      <c r="B44" s="5">
        <v>46057</v>
      </c>
      <c r="C44" s="5">
        <v>46155</v>
      </c>
      <c r="D44" s="4">
        <v>1</v>
      </c>
      <c r="E44" s="5">
        <v>46085</v>
      </c>
      <c r="F44" s="4">
        <v>465.91864013671898</v>
      </c>
      <c r="G44" s="15" t="s">
        <v>23</v>
      </c>
      <c r="H44" cm="1">
        <v>2</v>
      </c>
      <c r="I44" s="4" t="str" cm="1">
        <f t="array" ref="I44">IF(G44="","","E"&amp;TEXT(MATCH(G44,_xlfn.UNIQUE(_xlfn._xlws.FILTER($G$2:$G$500,$G$2:$G$500&lt;&gt;"")),0),"00"))</f>
        <v>E07</v>
      </c>
      <c r="J44" s="18">
        <v>46081</v>
      </c>
      <c r="K44" s="17" t="str">
        <f t="shared" si="0"/>
        <v>OK</v>
      </c>
      <c r="L44" s="20">
        <v>46084</v>
      </c>
      <c r="M44" s="20">
        <v>46128</v>
      </c>
      <c r="N44" t="str">
        <f t="shared" si="1"/>
        <v>OK</v>
      </c>
    </row>
    <row r="45" spans="1:14" ht="43.2">
      <c r="A45" s="11" t="s">
        <v>39</v>
      </c>
      <c r="B45" s="5">
        <v>46057</v>
      </c>
      <c r="C45" s="5">
        <v>46155</v>
      </c>
      <c r="D45" s="4">
        <v>2</v>
      </c>
      <c r="E45" s="5">
        <v>46091</v>
      </c>
      <c r="F45" s="4">
        <v>457.110595703125</v>
      </c>
      <c r="G45" s="15" t="s">
        <v>23</v>
      </c>
      <c r="H45" cm="1">
        <v>2</v>
      </c>
      <c r="I45" s="4" t="str" cm="1">
        <f t="array" ref="I45">IF(G45="","","E"&amp;TEXT(MATCH(G45,_xlfn.UNIQUE(_xlfn._xlws.FILTER($G$2:$G$500,$G$2:$G$500&lt;&gt;"")),0),"00"))</f>
        <v>E07</v>
      </c>
      <c r="J45" s="18">
        <v>46081</v>
      </c>
      <c r="K45" s="17" t="str">
        <f t="shared" si="0"/>
        <v>OK</v>
      </c>
      <c r="L45" s="20">
        <v>46084</v>
      </c>
      <c r="M45" s="20">
        <v>46128</v>
      </c>
      <c r="N45" t="str">
        <f t="shared" si="1"/>
        <v>OK</v>
      </c>
    </row>
    <row r="46" spans="1:14" ht="43.2">
      <c r="A46" s="11" t="s">
        <v>39</v>
      </c>
      <c r="B46" s="5">
        <v>46057</v>
      </c>
      <c r="C46" s="5">
        <v>46155</v>
      </c>
      <c r="D46" s="4">
        <v>3</v>
      </c>
      <c r="E46" s="5">
        <v>46112</v>
      </c>
      <c r="F46" s="4">
        <v>447.822265625</v>
      </c>
      <c r="G46" s="15" t="s">
        <v>107</v>
      </c>
      <c r="H46" cm="1">
        <v>2</v>
      </c>
      <c r="I46" s="4" t="str" cm="1">
        <f t="array" ref="I46">IF(G46="","","E"&amp;TEXT(MATCH(G46,_xlfn.UNIQUE(_xlfn._xlws.FILTER($G$2:$G$500,$G$2:$G$500&lt;&gt;"")),0),"00"))</f>
        <v>E14</v>
      </c>
      <c r="J46" s="18">
        <v>46112</v>
      </c>
      <c r="K46" s="17" t="str">
        <f t="shared" si="0"/>
        <v>OK</v>
      </c>
      <c r="L46" s="20">
        <v>46084</v>
      </c>
      <c r="M46" s="20">
        <v>46128</v>
      </c>
      <c r="N46" t="str">
        <f t="shared" si="1"/>
        <v>OK</v>
      </c>
    </row>
    <row r="47" spans="1:14" ht="28.8">
      <c r="A47" s="11" t="s">
        <v>40</v>
      </c>
      <c r="B47" s="5">
        <v>42313</v>
      </c>
      <c r="C47" s="5">
        <v>42338</v>
      </c>
      <c r="D47" s="4">
        <v>1</v>
      </c>
      <c r="E47" s="5">
        <v>42325</v>
      </c>
      <c r="F47" s="4">
        <v>551.20111083984398</v>
      </c>
      <c r="G47" s="15" t="s">
        <v>93</v>
      </c>
      <c r="H47" cm="1">
        <v>2</v>
      </c>
      <c r="I47" s="4" t="str" cm="1">
        <f t="array" ref="I47">IF(G47="","","E"&amp;TEXT(MATCH(G47,_xlfn.UNIQUE(_xlfn._xlws.FILTER($G$2:$G$500,$G$2:$G$500&lt;&gt;"")),0),"00"))</f>
        <v>E03</v>
      </c>
      <c r="J47" s="18">
        <v>42321</v>
      </c>
      <c r="K47" s="17" t="str">
        <f t="shared" si="0"/>
        <v>OK</v>
      </c>
      <c r="L47" s="20">
        <v>42324</v>
      </c>
      <c r="M47" s="20">
        <v>42338</v>
      </c>
      <c r="N47" t="str">
        <f t="shared" si="1"/>
        <v>OK</v>
      </c>
    </row>
    <row r="48" spans="1:14" ht="28.8">
      <c r="A48" s="11" t="s">
        <v>40</v>
      </c>
      <c r="B48" s="5">
        <v>42313</v>
      </c>
      <c r="C48" s="5">
        <v>42338</v>
      </c>
      <c r="D48" s="4">
        <v>2</v>
      </c>
      <c r="E48" s="5">
        <v>42326</v>
      </c>
      <c r="F48" s="4">
        <v>520.66583251953102</v>
      </c>
      <c r="G48" s="15" t="s">
        <v>93</v>
      </c>
      <c r="H48" cm="1">
        <v>2</v>
      </c>
      <c r="I48" s="4" t="str" cm="1">
        <f t="array" ref="I48">IF(G48="","","E"&amp;TEXT(MATCH(G48,_xlfn.UNIQUE(_xlfn._xlws.FILTER($G$2:$G$500,$G$2:$G$500&lt;&gt;"")),0),"00"))</f>
        <v>E03</v>
      </c>
      <c r="J48" s="18">
        <v>42321</v>
      </c>
      <c r="K48" s="17" t="str">
        <f t="shared" si="0"/>
        <v>OK</v>
      </c>
      <c r="L48" s="20">
        <v>42324</v>
      </c>
      <c r="M48" s="20">
        <v>42338</v>
      </c>
      <c r="N48" t="str">
        <f t="shared" si="1"/>
        <v>OK</v>
      </c>
    </row>
    <row r="49" spans="1:14" ht="43.2">
      <c r="A49" s="11" t="s">
        <v>40</v>
      </c>
      <c r="B49" s="5">
        <v>42313</v>
      </c>
      <c r="C49" s="5">
        <v>42338</v>
      </c>
      <c r="D49" s="4">
        <v>3</v>
      </c>
      <c r="E49" s="5">
        <v>42333</v>
      </c>
      <c r="F49" s="4">
        <v>394.968017578125</v>
      </c>
      <c r="G49" s="15" t="s">
        <v>95</v>
      </c>
      <c r="H49" cm="1">
        <v>2</v>
      </c>
      <c r="I49" s="4" t="str" cm="1">
        <f t="array" ref="I49">IF(G49="","","E"&amp;TEXT(MATCH(G49,_xlfn.UNIQUE(_xlfn._xlws.FILTER($G$2:$G$500,$G$2:$G$500&lt;&gt;"")),0),"00"))</f>
        <v>E04</v>
      </c>
      <c r="J49" s="18">
        <v>42332</v>
      </c>
      <c r="K49" s="17" t="str">
        <f t="shared" si="0"/>
        <v>OK</v>
      </c>
      <c r="L49" s="20">
        <v>42324</v>
      </c>
      <c r="M49" s="20">
        <v>42338</v>
      </c>
      <c r="N49" t="str">
        <f t="shared" si="1"/>
        <v>OK</v>
      </c>
    </row>
    <row r="50" spans="1:14" ht="43.2">
      <c r="A50" s="11" t="s">
        <v>41</v>
      </c>
      <c r="B50" s="5">
        <v>43823</v>
      </c>
      <c r="C50" s="5">
        <v>43857</v>
      </c>
      <c r="D50" s="4">
        <v>1</v>
      </c>
      <c r="E50" s="5">
        <v>43839</v>
      </c>
      <c r="F50" s="4">
        <v>339.62139892578102</v>
      </c>
      <c r="G50" s="15" t="s">
        <v>111</v>
      </c>
      <c r="H50" cm="1">
        <v>2</v>
      </c>
      <c r="I50" s="4" t="str" cm="1">
        <f t="array" ref="I50">IF(G50="","","E"&amp;TEXT(MATCH(G50,_xlfn.UNIQUE(_xlfn._xlws.FILTER($G$2:$G$500,$G$2:$G$500&lt;&gt;"")),0),"00"))</f>
        <v>E18</v>
      </c>
      <c r="J50" s="18">
        <v>43838</v>
      </c>
      <c r="K50" s="17" t="str">
        <f t="shared" si="0"/>
        <v>OK</v>
      </c>
      <c r="L50" s="20">
        <v>43826</v>
      </c>
      <c r="M50" s="20">
        <v>43843</v>
      </c>
      <c r="N50" t="str">
        <f t="shared" si="1"/>
        <v>OK</v>
      </c>
    </row>
    <row r="51" spans="1:14" ht="28.8">
      <c r="A51" s="11" t="s">
        <v>41</v>
      </c>
      <c r="B51" s="5">
        <v>43823</v>
      </c>
      <c r="C51" s="5">
        <v>43857</v>
      </c>
      <c r="D51" s="4">
        <v>2</v>
      </c>
      <c r="E51" s="5">
        <v>43836</v>
      </c>
      <c r="F51" s="4">
        <v>191.86993662516301</v>
      </c>
      <c r="G51" s="15" t="s">
        <v>113</v>
      </c>
      <c r="H51" cm="1">
        <v>2</v>
      </c>
      <c r="I51" s="4" t="str" cm="1">
        <f t="array" ref="I51">IF(G51="","","E"&amp;TEXT(MATCH(G51,_xlfn.UNIQUE(_xlfn._xlws.FILTER($G$2:$G$500,$G$2:$G$500&lt;&gt;"")),0),"00"))</f>
        <v>E19</v>
      </c>
      <c r="J51" s="18">
        <v>43833</v>
      </c>
      <c r="K51" s="17" t="str">
        <f t="shared" si="0"/>
        <v>OK</v>
      </c>
      <c r="L51" s="20">
        <v>43826</v>
      </c>
      <c r="M51" s="20">
        <v>43843</v>
      </c>
      <c r="N51" t="str">
        <f t="shared" si="1"/>
        <v>OK</v>
      </c>
    </row>
    <row r="52" spans="1:14" ht="43.2">
      <c r="A52" s="11" t="s">
        <v>41</v>
      </c>
      <c r="B52" s="5">
        <v>43823</v>
      </c>
      <c r="C52" s="5">
        <v>43857</v>
      </c>
      <c r="D52" s="4">
        <v>3</v>
      </c>
      <c r="E52" s="5">
        <v>43840</v>
      </c>
      <c r="F52" s="4">
        <v>166.78642272949199</v>
      </c>
      <c r="G52" s="15" t="s">
        <v>111</v>
      </c>
      <c r="H52" cm="1">
        <v>2</v>
      </c>
      <c r="I52" s="4" t="str" cm="1">
        <f t="array" ref="I52">IF(G52="","","E"&amp;TEXT(MATCH(G52,_xlfn.UNIQUE(_xlfn._xlws.FILTER($G$2:$G$500,$G$2:$G$500&lt;&gt;"")),0),"00"))</f>
        <v>E18</v>
      </c>
      <c r="J52" s="18">
        <v>43838</v>
      </c>
      <c r="K52" s="17" t="str">
        <f t="shared" si="0"/>
        <v>OK</v>
      </c>
      <c r="L52" s="20">
        <v>43826</v>
      </c>
      <c r="M52" s="20">
        <v>43843</v>
      </c>
      <c r="N52" t="str">
        <f t="shared" si="1"/>
        <v>OK</v>
      </c>
    </row>
    <row r="53" spans="1:14" ht="28.8">
      <c r="A53" s="11" t="s">
        <v>42</v>
      </c>
      <c r="B53" s="5">
        <v>44321</v>
      </c>
      <c r="C53" s="5">
        <v>44348</v>
      </c>
      <c r="D53" s="4">
        <v>1</v>
      </c>
      <c r="E53" s="5">
        <v>44329</v>
      </c>
      <c r="F53" s="4">
        <v>131.76544189453099</v>
      </c>
      <c r="G53" s="15" t="s">
        <v>115</v>
      </c>
      <c r="H53" cm="1">
        <v>2</v>
      </c>
      <c r="I53" s="4" t="str" cm="1">
        <f t="array" ref="I53">IF(G53="","","E"&amp;TEXT(MATCH(G53,_xlfn.UNIQUE(_xlfn._xlws.FILTER($G$2:$G$500,$G$2:$G$500&lt;&gt;"")),0),"00"))</f>
        <v>E20</v>
      </c>
      <c r="J53" s="18">
        <v>44326</v>
      </c>
      <c r="K53" s="17" t="str">
        <f t="shared" si="0"/>
        <v>OK</v>
      </c>
      <c r="L53" s="20">
        <v>44329</v>
      </c>
      <c r="M53" s="20">
        <v>44343</v>
      </c>
      <c r="N53" t="str">
        <f t="shared" si="1"/>
        <v>OK</v>
      </c>
    </row>
    <row r="54" spans="1:14" ht="43.2">
      <c r="A54" s="11" t="s">
        <v>42</v>
      </c>
      <c r="B54" s="5">
        <v>44321</v>
      </c>
      <c r="C54" s="5">
        <v>44348</v>
      </c>
      <c r="D54" s="4">
        <v>2</v>
      </c>
      <c r="E54" s="5">
        <v>44337</v>
      </c>
      <c r="F54" s="4">
        <v>125.12368011474599</v>
      </c>
      <c r="G54" s="15" t="s">
        <v>17</v>
      </c>
      <c r="H54" cm="1">
        <v>2</v>
      </c>
      <c r="I54" s="4" t="str" cm="1">
        <f t="array" ref="I54">IF(G54="","","E"&amp;TEXT(MATCH(G54,_xlfn.UNIQUE(_xlfn._xlws.FILTER($G$2:$G$500,$G$2:$G$500&lt;&gt;"")),0),"00"))</f>
        <v>E05</v>
      </c>
      <c r="J54" s="18">
        <v>44337</v>
      </c>
      <c r="K54" s="17" t="str">
        <f t="shared" si="0"/>
        <v>OK</v>
      </c>
      <c r="L54" s="20">
        <v>44329</v>
      </c>
      <c r="M54" s="20">
        <v>44343</v>
      </c>
      <c r="N54" t="str">
        <f t="shared" si="1"/>
        <v>OK</v>
      </c>
    </row>
    <row r="55" spans="1:14" ht="28.8">
      <c r="A55" s="11" t="s">
        <v>42</v>
      </c>
      <c r="B55" s="5">
        <v>44321</v>
      </c>
      <c r="C55" s="5">
        <v>44348</v>
      </c>
      <c r="D55" s="4">
        <v>3</v>
      </c>
      <c r="E55" s="5">
        <v>44334</v>
      </c>
      <c r="F55" s="4">
        <v>108.11334991455099</v>
      </c>
      <c r="G55" s="15" t="s">
        <v>115</v>
      </c>
      <c r="H55" cm="1">
        <v>2</v>
      </c>
      <c r="I55" s="4" t="str" cm="1">
        <f t="array" ref="I55">IF(G55="","","E"&amp;TEXT(MATCH(G55,_xlfn.UNIQUE(_xlfn._xlws.FILTER($G$2:$G$500,$G$2:$G$500&lt;&gt;"")),0),"00"))</f>
        <v>E20</v>
      </c>
      <c r="J55" s="18">
        <v>44326</v>
      </c>
      <c r="K55" s="17" t="str">
        <f t="shared" si="0"/>
        <v>OK</v>
      </c>
      <c r="L55" s="20">
        <v>44329</v>
      </c>
      <c r="M55" s="20">
        <v>44343</v>
      </c>
      <c r="N55" t="str">
        <f t="shared" si="1"/>
        <v>OK</v>
      </c>
    </row>
    <row r="56" spans="1:14" ht="28.8">
      <c r="A56" s="11" t="s">
        <v>43</v>
      </c>
      <c r="B56" s="5">
        <v>45722</v>
      </c>
      <c r="C56" s="5">
        <v>45748</v>
      </c>
      <c r="D56" s="4">
        <v>1</v>
      </c>
      <c r="E56" s="5">
        <v>45734</v>
      </c>
      <c r="F56" s="4">
        <v>271.26623535156199</v>
      </c>
      <c r="G56" s="15" t="s">
        <v>20</v>
      </c>
      <c r="H56" cm="1">
        <v>1</v>
      </c>
      <c r="I56" s="4" t="str" cm="1">
        <f t="array" ref="I56">IF(G56="","","E"&amp;TEXT(MATCH(G56,_xlfn.UNIQUE(_xlfn._xlws.FILTER($G$2:$G$500,$G$2:$G$500&lt;&gt;"")),0),"00"))</f>
        <v>E06</v>
      </c>
      <c r="J56" s="18">
        <v>45727</v>
      </c>
      <c r="K56" s="17" t="str">
        <f t="shared" si="0"/>
        <v>OK</v>
      </c>
      <c r="L56" s="20">
        <v>45722</v>
      </c>
      <c r="M56" s="20">
        <v>45736</v>
      </c>
      <c r="N56" t="str">
        <f t="shared" si="1"/>
        <v>OK</v>
      </c>
    </row>
    <row r="57" spans="1:14" ht="28.8">
      <c r="A57" s="11" t="s">
        <v>43</v>
      </c>
      <c r="B57" s="5">
        <v>45722</v>
      </c>
      <c r="C57" s="5">
        <v>45748</v>
      </c>
      <c r="D57" s="4">
        <v>2</v>
      </c>
      <c r="E57" s="5">
        <v>45735</v>
      </c>
      <c r="F57" s="4">
        <v>251.39157104492199</v>
      </c>
      <c r="G57" s="15" t="s">
        <v>20</v>
      </c>
      <c r="H57" cm="1">
        <v>1</v>
      </c>
      <c r="I57" s="4" t="str" cm="1">
        <f t="array" ref="I57">IF(G57="","","E"&amp;TEXT(MATCH(G57,_xlfn.UNIQUE(_xlfn._xlws.FILTER($G$2:$G$500,$G$2:$G$500&lt;&gt;"")),0),"00"))</f>
        <v>E06</v>
      </c>
      <c r="J57" s="18">
        <v>45727</v>
      </c>
      <c r="K57" s="17" t="str">
        <f t="shared" si="0"/>
        <v>OK</v>
      </c>
      <c r="L57" s="20">
        <v>45722</v>
      </c>
      <c r="M57" s="20">
        <v>45736</v>
      </c>
      <c r="N57" t="str">
        <f t="shared" si="1"/>
        <v>OK</v>
      </c>
    </row>
    <row r="58" spans="1:14" ht="28.8">
      <c r="A58" s="11" t="s">
        <v>43</v>
      </c>
      <c r="B58" s="5">
        <v>45722</v>
      </c>
      <c r="C58" s="5">
        <v>45748</v>
      </c>
      <c r="D58" s="4">
        <v>3</v>
      </c>
      <c r="E58" s="5">
        <v>45728</v>
      </c>
      <c r="F58" s="4">
        <v>234.28985595703099</v>
      </c>
      <c r="G58" s="15" t="s">
        <v>20</v>
      </c>
      <c r="H58" cm="1">
        <v>1</v>
      </c>
      <c r="I58" s="4" t="str" cm="1">
        <f t="array" ref="I58">IF(G58="","","E"&amp;TEXT(MATCH(G58,_xlfn.UNIQUE(_xlfn._xlws.FILTER($G$2:$G$500,$G$2:$G$500&lt;&gt;"")),0),"00"))</f>
        <v>E06</v>
      </c>
      <c r="J58" s="18">
        <v>45727</v>
      </c>
      <c r="K58" s="17" t="str">
        <f t="shared" si="0"/>
        <v>OK</v>
      </c>
      <c r="L58" s="20">
        <v>45722</v>
      </c>
      <c r="M58" s="20">
        <v>45736</v>
      </c>
      <c r="N58" t="str">
        <f t="shared" si="1"/>
        <v>OK</v>
      </c>
    </row>
    <row r="59" spans="1:14" ht="28.8">
      <c r="A59" s="11" t="s">
        <v>44</v>
      </c>
      <c r="B59" s="5">
        <v>45819</v>
      </c>
      <c r="C59" s="5">
        <v>45841</v>
      </c>
      <c r="D59" s="4">
        <v>1</v>
      </c>
      <c r="E59" s="5">
        <v>45831</v>
      </c>
      <c r="F59" s="4">
        <v>352.00847880045598</v>
      </c>
      <c r="G59" s="15" t="s">
        <v>38</v>
      </c>
      <c r="H59" cm="1">
        <v>1</v>
      </c>
      <c r="I59" s="4" t="str" cm="1">
        <f t="array" ref="I59">IF(G59="","","E"&amp;TEXT(MATCH(G59,_xlfn.UNIQUE(_xlfn._xlws.FILTER($G$2:$G$500,$G$2:$G$500&lt;&gt;"")),0),"00"))</f>
        <v>E17</v>
      </c>
      <c r="J59" s="18">
        <v>45821</v>
      </c>
      <c r="K59" s="17" t="str">
        <f t="shared" si="0"/>
        <v>OK</v>
      </c>
      <c r="L59" s="20">
        <v>45825</v>
      </c>
      <c r="M59" s="20">
        <v>45839</v>
      </c>
      <c r="N59" t="str">
        <f t="shared" si="1"/>
        <v>OK</v>
      </c>
    </row>
    <row r="60" spans="1:14" ht="28.8">
      <c r="A60" s="11" t="s">
        <v>44</v>
      </c>
      <c r="B60" s="5">
        <v>45819</v>
      </c>
      <c r="C60" s="5">
        <v>45841</v>
      </c>
      <c r="D60" s="4">
        <v>2</v>
      </c>
      <c r="E60" s="5">
        <v>45828</v>
      </c>
      <c r="F60" s="4">
        <v>345.27322387695301</v>
      </c>
      <c r="G60" s="15" t="s">
        <v>38</v>
      </c>
      <c r="H60" cm="1">
        <v>1</v>
      </c>
      <c r="I60" s="4" t="str" cm="1">
        <f t="array" ref="I60">IF(G60="","","E"&amp;TEXT(MATCH(G60,_xlfn.UNIQUE(_xlfn._xlws.FILTER($G$2:$G$500,$G$2:$G$500&lt;&gt;"")),0),"00"))</f>
        <v>E17</v>
      </c>
      <c r="J60" s="18">
        <v>45821</v>
      </c>
      <c r="K60" s="17" t="str">
        <f t="shared" si="0"/>
        <v>OK</v>
      </c>
      <c r="L60" s="20">
        <v>45825</v>
      </c>
      <c r="M60" s="20">
        <v>45839</v>
      </c>
      <c r="N60" t="str">
        <f t="shared" si="1"/>
        <v>OK</v>
      </c>
    </row>
    <row r="61" spans="1:14" ht="28.8">
      <c r="A61" s="11" t="s">
        <v>44</v>
      </c>
      <c r="B61" s="5">
        <v>45819</v>
      </c>
      <c r="C61" s="5">
        <v>45841</v>
      </c>
      <c r="D61" s="4">
        <v>3</v>
      </c>
      <c r="E61" s="5">
        <v>45832</v>
      </c>
      <c r="F61" s="4">
        <v>318.76171875</v>
      </c>
      <c r="G61" s="15" t="s">
        <v>38</v>
      </c>
      <c r="H61" cm="1">
        <v>1</v>
      </c>
      <c r="I61" s="4" t="str" cm="1">
        <f t="array" ref="I61">IF(G61="","","E"&amp;TEXT(MATCH(G61,_xlfn.UNIQUE(_xlfn._xlws.FILTER($G$2:$G$500,$G$2:$G$500&lt;&gt;"")),0),"00"))</f>
        <v>E17</v>
      </c>
      <c r="J61" s="18">
        <v>45821</v>
      </c>
      <c r="K61" s="17" t="str">
        <f t="shared" si="0"/>
        <v>OK</v>
      </c>
      <c r="L61" s="20">
        <v>45825</v>
      </c>
      <c r="M61" s="20">
        <v>45839</v>
      </c>
      <c r="N61" t="str">
        <f t="shared" si="1"/>
        <v>OK</v>
      </c>
    </row>
    <row r="62" spans="1:14" ht="28.8">
      <c r="A62" s="11" t="s">
        <v>45</v>
      </c>
      <c r="B62" s="5">
        <v>42306</v>
      </c>
      <c r="C62" s="5">
        <v>42374</v>
      </c>
      <c r="D62" s="4">
        <v>1</v>
      </c>
      <c r="E62" s="5">
        <v>42325</v>
      </c>
      <c r="F62" s="4">
        <v>551.20111083984398</v>
      </c>
      <c r="G62" s="15" t="s">
        <v>93</v>
      </c>
      <c r="H62" cm="1">
        <v>2</v>
      </c>
      <c r="I62" s="4" t="str" cm="1">
        <f t="array" ref="I62">IF(G62="","","E"&amp;TEXT(MATCH(G62,_xlfn.UNIQUE(_xlfn._xlws.FILTER($G$2:$G$500,$G$2:$G$500&lt;&gt;"")),0),"00"))</f>
        <v>E03</v>
      </c>
      <c r="J62" s="18">
        <v>42321</v>
      </c>
      <c r="K62" s="17" t="str">
        <f t="shared" si="0"/>
        <v>OK</v>
      </c>
      <c r="L62" s="20">
        <v>42324</v>
      </c>
      <c r="M62" s="20">
        <v>42352</v>
      </c>
      <c r="N62" t="str">
        <f t="shared" si="1"/>
        <v>OK</v>
      </c>
    </row>
    <row r="63" spans="1:14" ht="28.8">
      <c r="A63" s="11" t="s">
        <v>45</v>
      </c>
      <c r="B63" s="5">
        <v>42306</v>
      </c>
      <c r="C63" s="5">
        <v>42374</v>
      </c>
      <c r="D63" s="4">
        <v>2</v>
      </c>
      <c r="E63" s="5">
        <v>42326</v>
      </c>
      <c r="F63" s="4">
        <v>520.66583251953102</v>
      </c>
      <c r="G63" s="15" t="s">
        <v>93</v>
      </c>
      <c r="H63" cm="1">
        <v>2</v>
      </c>
      <c r="I63" s="4" t="str" cm="1">
        <f t="array" ref="I63">IF(G63="","","E"&amp;TEXT(MATCH(G63,_xlfn.UNIQUE(_xlfn._xlws.FILTER($G$2:$G$500,$G$2:$G$500&lt;&gt;"")),0),"00"))</f>
        <v>E03</v>
      </c>
      <c r="J63" s="18">
        <v>42321</v>
      </c>
      <c r="K63" s="17" t="str">
        <f t="shared" si="0"/>
        <v>OK</v>
      </c>
      <c r="L63" s="20">
        <v>42324</v>
      </c>
      <c r="M63" s="20">
        <v>42352</v>
      </c>
      <c r="N63" t="str">
        <f t="shared" si="1"/>
        <v>OK</v>
      </c>
    </row>
    <row r="64" spans="1:14" ht="43.2">
      <c r="A64" s="11" t="s">
        <v>45</v>
      </c>
      <c r="B64" s="5">
        <v>42306</v>
      </c>
      <c r="C64" s="5">
        <v>42374</v>
      </c>
      <c r="D64" s="4">
        <v>3</v>
      </c>
      <c r="E64" s="5">
        <v>42333</v>
      </c>
      <c r="F64" s="4">
        <v>394.968017578125</v>
      </c>
      <c r="G64" s="15" t="s">
        <v>95</v>
      </c>
      <c r="H64" cm="1">
        <v>2</v>
      </c>
      <c r="I64" s="4" t="str" cm="1">
        <f t="array" ref="I64">IF(G64="","","E"&amp;TEXT(MATCH(G64,_xlfn.UNIQUE(_xlfn._xlws.FILTER($G$2:$G$500,$G$2:$G$500&lt;&gt;"")),0),"00"))</f>
        <v>E04</v>
      </c>
      <c r="J64" s="18">
        <v>42332</v>
      </c>
      <c r="K64" s="17" t="str">
        <f t="shared" si="0"/>
        <v>OK</v>
      </c>
      <c r="L64" s="20">
        <v>42324</v>
      </c>
      <c r="M64" s="20">
        <v>42352</v>
      </c>
      <c r="N64" t="str">
        <f t="shared" si="1"/>
        <v>OK</v>
      </c>
    </row>
    <row r="65" spans="1:14" ht="28.8">
      <c r="A65" s="11" t="s">
        <v>46</v>
      </c>
      <c r="B65" s="5">
        <v>42706</v>
      </c>
      <c r="C65" s="5">
        <v>42723</v>
      </c>
      <c r="D65" s="4">
        <v>1</v>
      </c>
      <c r="E65" s="5">
        <v>42725</v>
      </c>
      <c r="F65" s="4">
        <v>311.33465576171898</v>
      </c>
      <c r="G65" s="15" t="s">
        <v>48</v>
      </c>
      <c r="H65" cm="1">
        <v>1</v>
      </c>
      <c r="I65" s="4" t="str" cm="1">
        <f t="array" ref="I65">IF(G65="","","E"&amp;TEXT(MATCH(G65,_xlfn.UNIQUE(_xlfn._xlws.FILTER($G$2:$G$500,$G$2:$G$500&lt;&gt;"")),0),"00"))</f>
        <v>E21</v>
      </c>
      <c r="J65" s="18">
        <v>42717</v>
      </c>
      <c r="K65" s="17" t="str">
        <f t="shared" si="0"/>
        <v>OK</v>
      </c>
      <c r="L65" s="20">
        <v>42703</v>
      </c>
      <c r="M65" s="20">
        <v>42734</v>
      </c>
      <c r="N65" t="str">
        <f t="shared" si="1"/>
        <v>OK</v>
      </c>
    </row>
    <row r="66" spans="1:14" ht="28.8">
      <c r="A66" s="11" t="s">
        <v>46</v>
      </c>
      <c r="B66" s="5">
        <v>42706</v>
      </c>
      <c r="C66" s="5">
        <v>42723</v>
      </c>
      <c r="D66" s="4">
        <v>2</v>
      </c>
      <c r="E66" s="5">
        <v>42734</v>
      </c>
      <c r="F66" s="4">
        <v>247.23635864257801</v>
      </c>
      <c r="G66" s="15" t="s">
        <v>48</v>
      </c>
      <c r="H66" cm="1">
        <v>1</v>
      </c>
      <c r="I66" s="4" t="str" cm="1">
        <f t="array" ref="I66">IF(G66="","","E"&amp;TEXT(MATCH(G66,_xlfn.UNIQUE(_xlfn._xlws.FILTER($G$2:$G$500,$G$2:$G$500&lt;&gt;"")),0),"00"))</f>
        <v>E21</v>
      </c>
      <c r="J66" s="18">
        <v>42717</v>
      </c>
      <c r="K66" s="17" t="str">
        <f t="shared" ref="K66:K129" si="2">IF(E66&lt;J66-1,"FLAG","OK")</f>
        <v>OK</v>
      </c>
      <c r="L66" s="20">
        <v>42703</v>
      </c>
      <c r="M66" s="20">
        <v>42734</v>
      </c>
      <c r="N66" t="str">
        <f t="shared" ref="N66:N129" si="3">IF(OR(E66&lt;L66,E66&gt;M66),"FLAG","OK")</f>
        <v>OK</v>
      </c>
    </row>
    <row r="67" spans="1:14" ht="28.8">
      <c r="A67" s="11" t="s">
        <v>46</v>
      </c>
      <c r="B67" s="5">
        <v>42706</v>
      </c>
      <c r="C67" s="5">
        <v>42723</v>
      </c>
      <c r="D67" s="4">
        <v>3</v>
      </c>
      <c r="E67" s="5">
        <v>42727</v>
      </c>
      <c r="F67" s="4">
        <v>246.60563659668</v>
      </c>
      <c r="G67" s="15" t="s">
        <v>48</v>
      </c>
      <c r="H67" cm="1">
        <v>1</v>
      </c>
      <c r="I67" s="4" t="str" cm="1">
        <f t="array" ref="I67">IF(G67="","","E"&amp;TEXT(MATCH(G67,_xlfn.UNIQUE(_xlfn._xlws.FILTER($G$2:$G$500,$G$2:$G$500&lt;&gt;"")),0),"00"))</f>
        <v>E21</v>
      </c>
      <c r="J67" s="18">
        <v>42717</v>
      </c>
      <c r="K67" s="17" t="str">
        <f t="shared" si="2"/>
        <v>OK</v>
      </c>
      <c r="L67" s="20">
        <v>42703</v>
      </c>
      <c r="M67" s="20">
        <v>42734</v>
      </c>
      <c r="N67" t="str">
        <f t="shared" si="3"/>
        <v>OK</v>
      </c>
    </row>
    <row r="68" spans="1:14" ht="28.8">
      <c r="A68" s="11" t="s">
        <v>49</v>
      </c>
      <c r="B68" s="5">
        <v>42874</v>
      </c>
      <c r="C68" s="5">
        <v>42915</v>
      </c>
      <c r="D68" s="4">
        <v>1</v>
      </c>
      <c r="E68" s="5">
        <v>42892</v>
      </c>
      <c r="F68" s="4">
        <v>339.86666870117199</v>
      </c>
      <c r="G68" s="15" t="s">
        <v>99</v>
      </c>
      <c r="H68" cm="1">
        <v>3</v>
      </c>
      <c r="I68" s="4" t="str" cm="1">
        <f t="array" ref="I68">IF(G68="","","E"&amp;TEXT(MATCH(G68,_xlfn.UNIQUE(_xlfn._xlws.FILTER($G$2:$G$500,$G$2:$G$500&lt;&gt;"")),0),"00"))</f>
        <v>E09</v>
      </c>
      <c r="J68" s="18">
        <v>42891</v>
      </c>
      <c r="K68" s="17" t="str">
        <f t="shared" si="2"/>
        <v>OK</v>
      </c>
      <c r="L68" s="20">
        <v>42879</v>
      </c>
      <c r="M68" s="20">
        <v>42908</v>
      </c>
      <c r="N68" t="str">
        <f t="shared" si="3"/>
        <v>OK</v>
      </c>
    </row>
    <row r="69" spans="1:14" ht="28.8">
      <c r="A69" s="11" t="s">
        <v>49</v>
      </c>
      <c r="B69" s="5">
        <v>42874</v>
      </c>
      <c r="C69" s="5">
        <v>42915</v>
      </c>
      <c r="D69" s="4">
        <v>2</v>
      </c>
      <c r="E69" s="5">
        <v>42893</v>
      </c>
      <c r="F69" s="4">
        <v>333.88903808593801</v>
      </c>
      <c r="G69" s="15" t="s">
        <v>97</v>
      </c>
      <c r="H69" cm="1">
        <v>3</v>
      </c>
      <c r="I69" s="4" t="str" cm="1">
        <f t="array" ref="I69">IF(G69="","","E"&amp;TEXT(MATCH(G69,_xlfn.UNIQUE(_xlfn._xlws.FILTER($G$2:$G$500,$G$2:$G$500&lt;&gt;"")),0),"00"))</f>
        <v>E08</v>
      </c>
      <c r="J69" s="18">
        <v>42893</v>
      </c>
      <c r="K69" s="17" t="str">
        <f t="shared" si="2"/>
        <v>OK</v>
      </c>
      <c r="L69" s="20">
        <v>42879</v>
      </c>
      <c r="M69" s="20">
        <v>42908</v>
      </c>
      <c r="N69" t="str">
        <f t="shared" si="3"/>
        <v>OK</v>
      </c>
    </row>
    <row r="70" spans="1:14" ht="43.2">
      <c r="A70" s="11" t="s">
        <v>49</v>
      </c>
      <c r="B70" s="5">
        <v>42874</v>
      </c>
      <c r="C70" s="5">
        <v>42915</v>
      </c>
      <c r="D70" s="4">
        <v>3</v>
      </c>
      <c r="E70" s="5">
        <v>42881</v>
      </c>
      <c r="F70" s="4">
        <v>289.86331176757801</v>
      </c>
      <c r="G70" s="15" t="s">
        <v>101</v>
      </c>
      <c r="H70" cm="1">
        <v>3</v>
      </c>
      <c r="I70" s="4" t="str" cm="1">
        <f t="array" ref="I70">IF(G70="","","E"&amp;TEXT(MATCH(G70,_xlfn.UNIQUE(_xlfn._xlws.FILTER($G$2:$G$500,$G$2:$G$500&lt;&gt;"")),0),"00"))</f>
        <v>E10</v>
      </c>
      <c r="J70" s="18">
        <v>42879</v>
      </c>
      <c r="K70" s="17" t="str">
        <f t="shared" si="2"/>
        <v>OK</v>
      </c>
      <c r="L70" s="20">
        <v>42879</v>
      </c>
      <c r="M70" s="20">
        <v>42908</v>
      </c>
      <c r="N70" t="str">
        <f t="shared" si="3"/>
        <v>OK</v>
      </c>
    </row>
    <row r="71" spans="1:14" ht="43.2">
      <c r="A71" s="11" t="s">
        <v>50</v>
      </c>
      <c r="B71" s="5">
        <v>45707</v>
      </c>
      <c r="C71" s="5">
        <v>45733</v>
      </c>
      <c r="D71" s="4">
        <v>1</v>
      </c>
      <c r="E71" s="5">
        <v>45708</v>
      </c>
      <c r="F71" s="4">
        <v>336.85391235351602</v>
      </c>
      <c r="G71" s="15" t="s">
        <v>117</v>
      </c>
      <c r="H71" cm="1">
        <v>2</v>
      </c>
      <c r="I71" s="4" t="str" cm="1">
        <f t="array" ref="I71">IF(G71="","","E"&amp;TEXT(MATCH(G71,_xlfn.UNIQUE(_xlfn._xlws.FILTER($G$2:$G$500,$G$2:$G$500&lt;&gt;"")),0),"00"))</f>
        <v>E22</v>
      </c>
      <c r="J71" s="18">
        <v>45707</v>
      </c>
      <c r="K71" s="17" t="str">
        <f t="shared" si="2"/>
        <v>OK</v>
      </c>
      <c r="L71" s="20">
        <v>45708</v>
      </c>
      <c r="M71" s="20">
        <v>45736</v>
      </c>
      <c r="N71" t="str">
        <f t="shared" si="3"/>
        <v>OK</v>
      </c>
    </row>
    <row r="72" spans="1:14" ht="28.8">
      <c r="A72" s="11" t="s">
        <v>50</v>
      </c>
      <c r="B72" s="5">
        <v>45707</v>
      </c>
      <c r="C72" s="5">
        <v>45733</v>
      </c>
      <c r="D72" s="4">
        <v>2</v>
      </c>
      <c r="E72" s="5">
        <v>45734</v>
      </c>
      <c r="F72" s="4">
        <v>271.26623535156199</v>
      </c>
      <c r="G72" s="15" t="s">
        <v>20</v>
      </c>
      <c r="H72" cm="1">
        <v>2</v>
      </c>
      <c r="I72" s="4" t="str" cm="1">
        <f t="array" ref="I72">IF(G72="","","E"&amp;TEXT(MATCH(G72,_xlfn.UNIQUE(_xlfn._xlws.FILTER($G$2:$G$500,$G$2:$G$500&lt;&gt;"")),0),"00"))</f>
        <v>E06</v>
      </c>
      <c r="J72" s="18">
        <v>45727</v>
      </c>
      <c r="K72" s="17" t="str">
        <f t="shared" si="2"/>
        <v>OK</v>
      </c>
      <c r="L72" s="20">
        <v>45708</v>
      </c>
      <c r="M72" s="20">
        <v>45736</v>
      </c>
      <c r="N72" t="str">
        <f t="shared" si="3"/>
        <v>OK</v>
      </c>
    </row>
    <row r="73" spans="1:14" ht="28.8">
      <c r="A73" s="11" t="s">
        <v>50</v>
      </c>
      <c r="B73" s="5">
        <v>45707</v>
      </c>
      <c r="C73" s="5">
        <v>45733</v>
      </c>
      <c r="D73" s="4">
        <v>3</v>
      </c>
      <c r="E73" s="5">
        <v>45735</v>
      </c>
      <c r="F73" s="4">
        <v>251.39157104492199</v>
      </c>
      <c r="G73" s="15" t="s">
        <v>20</v>
      </c>
      <c r="H73" cm="1">
        <v>2</v>
      </c>
      <c r="I73" s="4" t="str" cm="1">
        <f t="array" ref="I73">IF(G73="","","E"&amp;TEXT(MATCH(G73,_xlfn.UNIQUE(_xlfn._xlws.FILTER($G$2:$G$500,$G$2:$G$500&lt;&gt;"")),0),"00"))</f>
        <v>E06</v>
      </c>
      <c r="J73" s="18">
        <v>45727</v>
      </c>
      <c r="K73" s="17" t="str">
        <f t="shared" si="2"/>
        <v>OK</v>
      </c>
      <c r="L73" s="20">
        <v>45708</v>
      </c>
      <c r="M73" s="20">
        <v>45736</v>
      </c>
      <c r="N73" t="str">
        <f t="shared" si="3"/>
        <v>OK</v>
      </c>
    </row>
    <row r="74" spans="1:14" ht="43.2">
      <c r="A74" s="11" t="s">
        <v>51</v>
      </c>
      <c r="B74" s="5">
        <v>46065</v>
      </c>
      <c r="C74" s="5">
        <v>46101</v>
      </c>
      <c r="D74" s="4">
        <v>1</v>
      </c>
      <c r="E74" s="5">
        <v>46091</v>
      </c>
      <c r="F74" s="4">
        <v>627.33221435546898</v>
      </c>
      <c r="G74" s="15" t="s">
        <v>23</v>
      </c>
      <c r="H74" cm="1">
        <v>2</v>
      </c>
      <c r="I74" s="4" t="str" cm="1">
        <f t="array" ref="I74">IF(G74="","","E"&amp;TEXT(MATCH(G74,_xlfn.UNIQUE(_xlfn._xlws.FILTER($G$2:$G$500,$G$2:$G$500&lt;&gt;"")),0),"00"))</f>
        <v>E07</v>
      </c>
      <c r="J74" s="18">
        <v>46081</v>
      </c>
      <c r="K74" s="17" t="str">
        <f t="shared" si="2"/>
        <v>OK</v>
      </c>
      <c r="L74" s="20">
        <v>46084</v>
      </c>
      <c r="M74" s="20">
        <v>46112</v>
      </c>
      <c r="N74" t="str">
        <f t="shared" si="3"/>
        <v>OK</v>
      </c>
    </row>
    <row r="75" spans="1:14" ht="43.2">
      <c r="A75" s="11" t="s">
        <v>51</v>
      </c>
      <c r="B75" s="5">
        <v>46065</v>
      </c>
      <c r="C75" s="5">
        <v>46101</v>
      </c>
      <c r="D75" s="4">
        <v>2</v>
      </c>
      <c r="E75" s="5">
        <v>46085</v>
      </c>
      <c r="F75" s="4">
        <v>611.76007080078102</v>
      </c>
      <c r="G75" s="15" t="s">
        <v>23</v>
      </c>
      <c r="H75" cm="1">
        <v>2</v>
      </c>
      <c r="I75" s="4" t="str" cm="1">
        <f t="array" ref="I75">IF(G75="","","E"&amp;TEXT(MATCH(G75,_xlfn.UNIQUE(_xlfn._xlws.FILTER($G$2:$G$500,$G$2:$G$500&lt;&gt;"")),0),"00"))</f>
        <v>E07</v>
      </c>
      <c r="J75" s="18">
        <v>46081</v>
      </c>
      <c r="K75" s="17" t="str">
        <f t="shared" si="2"/>
        <v>OK</v>
      </c>
      <c r="L75" s="20">
        <v>46084</v>
      </c>
      <c r="M75" s="20">
        <v>46112</v>
      </c>
      <c r="N75" t="str">
        <f t="shared" si="3"/>
        <v>OK</v>
      </c>
    </row>
    <row r="76" spans="1:14" ht="43.2">
      <c r="A76" s="11" t="s">
        <v>51</v>
      </c>
      <c r="B76" s="5">
        <v>46065</v>
      </c>
      <c r="C76" s="5">
        <v>46101</v>
      </c>
      <c r="D76" s="4">
        <v>3</v>
      </c>
      <c r="E76" s="5">
        <v>46112</v>
      </c>
      <c r="F76" s="4">
        <v>590.88153076171898</v>
      </c>
      <c r="G76" s="15" t="s">
        <v>107</v>
      </c>
      <c r="H76" cm="1">
        <v>2</v>
      </c>
      <c r="I76" s="4" t="str" cm="1">
        <f t="array" ref="I76">IF(G76="","","E"&amp;TEXT(MATCH(G76,_xlfn.UNIQUE(_xlfn._xlws.FILTER($G$2:$G$500,$G$2:$G$500&lt;&gt;"")),0),"00"))</f>
        <v>E14</v>
      </c>
      <c r="J76" s="18">
        <v>46112</v>
      </c>
      <c r="K76" s="17" t="str">
        <f t="shared" si="2"/>
        <v>OK</v>
      </c>
      <c r="L76" s="20">
        <v>46084</v>
      </c>
      <c r="M76" s="20">
        <v>46112</v>
      </c>
      <c r="N76" t="str">
        <f t="shared" si="3"/>
        <v>OK</v>
      </c>
    </row>
    <row r="77" spans="1:14" ht="28.8">
      <c r="A77" s="11" t="s">
        <v>52</v>
      </c>
      <c r="B77" s="5">
        <v>42024</v>
      </c>
      <c r="C77" s="5">
        <v>42061</v>
      </c>
      <c r="D77" s="4">
        <v>1</v>
      </c>
      <c r="E77" s="5">
        <v>42017</v>
      </c>
      <c r="F77" s="4">
        <v>259.009521484375</v>
      </c>
      <c r="G77" s="15" t="s">
        <v>119</v>
      </c>
      <c r="H77" cm="1">
        <v>2</v>
      </c>
      <c r="I77" s="4" t="str" cm="1">
        <f t="array" ref="I77">IF(G77="","","E"&amp;TEXT(MATCH(G77,_xlfn.UNIQUE(_xlfn._xlws.FILTER($G$2:$G$500,$G$2:$G$500&lt;&gt;"")),0),"00"))</f>
        <v>E23</v>
      </c>
      <c r="J77" s="18">
        <v>42017</v>
      </c>
      <c r="K77" s="17" t="str">
        <f t="shared" si="2"/>
        <v>OK</v>
      </c>
      <c r="L77" s="20">
        <v>42012</v>
      </c>
      <c r="M77" s="20">
        <v>42054</v>
      </c>
      <c r="N77" t="str">
        <f t="shared" si="3"/>
        <v>OK</v>
      </c>
    </row>
    <row r="78" spans="1:14" ht="28.8">
      <c r="A78" s="11" t="s">
        <v>52</v>
      </c>
      <c r="B78" s="5">
        <v>42024</v>
      </c>
      <c r="C78" s="5">
        <v>42061</v>
      </c>
      <c r="D78" s="4">
        <v>2</v>
      </c>
      <c r="E78" s="5">
        <v>42020</v>
      </c>
      <c r="F78" s="4">
        <v>258.11636352539102</v>
      </c>
      <c r="G78" s="15" t="s">
        <v>121</v>
      </c>
      <c r="H78" cm="1">
        <v>2</v>
      </c>
      <c r="I78" s="4" t="str" cm="1">
        <f t="array" ref="I78">IF(G78="","","E"&amp;TEXT(MATCH(G78,_xlfn.UNIQUE(_xlfn._xlws.FILTER($G$2:$G$500,$G$2:$G$500&lt;&gt;"")),0),"00"))</f>
        <v>E24</v>
      </c>
      <c r="J78" s="18">
        <v>42019</v>
      </c>
      <c r="K78" s="17" t="str">
        <f t="shared" si="2"/>
        <v>OK</v>
      </c>
      <c r="L78" s="20">
        <v>42012</v>
      </c>
      <c r="M78" s="20">
        <v>42054</v>
      </c>
      <c r="N78" t="str">
        <f t="shared" si="3"/>
        <v>OK</v>
      </c>
    </row>
    <row r="79" spans="1:14" ht="28.8">
      <c r="A79" s="11" t="s">
        <v>52</v>
      </c>
      <c r="B79" s="5">
        <v>42024</v>
      </c>
      <c r="C79" s="5">
        <v>42061</v>
      </c>
      <c r="D79" s="4">
        <v>3</v>
      </c>
      <c r="E79" s="5">
        <v>42019</v>
      </c>
      <c r="F79" s="4">
        <v>257.60641479492199</v>
      </c>
      <c r="G79" s="15" t="s">
        <v>121</v>
      </c>
      <c r="H79" cm="1">
        <v>2</v>
      </c>
      <c r="I79" s="4" t="str" cm="1">
        <f t="array" ref="I79">IF(G79="","","E"&amp;TEXT(MATCH(G79,_xlfn.UNIQUE(_xlfn._xlws.FILTER($G$2:$G$500,$G$2:$G$500&lt;&gt;"")),0),"00"))</f>
        <v>E24</v>
      </c>
      <c r="J79" s="18">
        <v>42019</v>
      </c>
      <c r="K79" s="17" t="str">
        <f t="shared" si="2"/>
        <v>OK</v>
      </c>
      <c r="L79" s="20">
        <v>42012</v>
      </c>
      <c r="M79" s="20">
        <v>42054</v>
      </c>
      <c r="N79" t="str">
        <f t="shared" si="3"/>
        <v>OK</v>
      </c>
    </row>
    <row r="80" spans="1:14" ht="28.8">
      <c r="A80" s="11" t="s">
        <v>53</v>
      </c>
      <c r="B80" s="5">
        <v>42339</v>
      </c>
      <c r="C80" s="5">
        <v>42360</v>
      </c>
      <c r="D80" s="4">
        <v>1</v>
      </c>
      <c r="E80" s="5">
        <v>42325</v>
      </c>
      <c r="F80" s="4">
        <v>551.20111083984398</v>
      </c>
      <c r="G80" s="15" t="s">
        <v>93</v>
      </c>
      <c r="H80" cm="1">
        <v>2</v>
      </c>
      <c r="I80" s="4" t="str" cm="1">
        <f t="array" ref="I80">IF(G80="","","E"&amp;TEXT(MATCH(G80,_xlfn.UNIQUE(_xlfn._xlws.FILTER($G$2:$G$500,$G$2:$G$500&lt;&gt;"")),0),"00"))</f>
        <v>E03</v>
      </c>
      <c r="J80" s="18">
        <v>42321</v>
      </c>
      <c r="K80" s="17" t="str">
        <f t="shared" si="2"/>
        <v>OK</v>
      </c>
      <c r="L80" s="20">
        <v>42324</v>
      </c>
      <c r="M80" s="20">
        <v>42368</v>
      </c>
      <c r="N80" t="str">
        <f t="shared" si="3"/>
        <v>OK</v>
      </c>
    </row>
    <row r="81" spans="1:14" ht="28.8">
      <c r="A81" s="11" t="s">
        <v>53</v>
      </c>
      <c r="B81" s="5">
        <v>42339</v>
      </c>
      <c r="C81" s="5">
        <v>42360</v>
      </c>
      <c r="D81" s="4">
        <v>2</v>
      </c>
      <c r="E81" s="5">
        <v>42326</v>
      </c>
      <c r="F81" s="4">
        <v>520.66583251953102</v>
      </c>
      <c r="G81" s="15" t="s">
        <v>93</v>
      </c>
      <c r="H81" cm="1">
        <v>2</v>
      </c>
      <c r="I81" s="4" t="str" cm="1">
        <f t="array" ref="I81">IF(G81="","","E"&amp;TEXT(MATCH(G81,_xlfn.UNIQUE(_xlfn._xlws.FILTER($G$2:$G$500,$G$2:$G$500&lt;&gt;"")),0),"00"))</f>
        <v>E03</v>
      </c>
      <c r="J81" s="18">
        <v>42321</v>
      </c>
      <c r="K81" s="17" t="str">
        <f t="shared" si="2"/>
        <v>OK</v>
      </c>
      <c r="L81" s="20">
        <v>42324</v>
      </c>
      <c r="M81" s="20">
        <v>42368</v>
      </c>
      <c r="N81" t="str">
        <f t="shared" si="3"/>
        <v>OK</v>
      </c>
    </row>
    <row r="82" spans="1:14" ht="43.2">
      <c r="A82" s="11" t="s">
        <v>53</v>
      </c>
      <c r="B82" s="5">
        <v>42339</v>
      </c>
      <c r="C82" s="5">
        <v>42360</v>
      </c>
      <c r="D82" s="4">
        <v>3</v>
      </c>
      <c r="E82" s="5">
        <v>42333</v>
      </c>
      <c r="F82" s="4">
        <v>394.968017578125</v>
      </c>
      <c r="G82" s="15" t="s">
        <v>95</v>
      </c>
      <c r="H82" cm="1">
        <v>2</v>
      </c>
      <c r="I82" s="4" t="str" cm="1">
        <f t="array" ref="I82">IF(G82="","","E"&amp;TEXT(MATCH(G82,_xlfn.UNIQUE(_xlfn._xlws.FILTER($G$2:$G$500,$G$2:$G$500&lt;&gt;"")),0),"00"))</f>
        <v>E04</v>
      </c>
      <c r="J82" s="18">
        <v>42332</v>
      </c>
      <c r="K82" s="17" t="str">
        <f t="shared" si="2"/>
        <v>OK</v>
      </c>
      <c r="L82" s="20">
        <v>42324</v>
      </c>
      <c r="M82" s="20">
        <v>42368</v>
      </c>
      <c r="N82" t="str">
        <f t="shared" si="3"/>
        <v>OK</v>
      </c>
    </row>
    <row r="83" spans="1:14" ht="28.8">
      <c r="A83" s="11" t="s">
        <v>54</v>
      </c>
      <c r="B83" s="5">
        <v>42739</v>
      </c>
      <c r="C83" s="5">
        <v>42754</v>
      </c>
      <c r="D83" s="4">
        <v>1</v>
      </c>
      <c r="E83" s="5">
        <v>42725</v>
      </c>
      <c r="F83" s="4">
        <v>311.33465576171898</v>
      </c>
      <c r="G83" s="15" t="s">
        <v>48</v>
      </c>
      <c r="H83" cm="1">
        <v>1</v>
      </c>
      <c r="I83" s="4" t="str" cm="1">
        <f t="array" ref="I83">IF(G83="","","E"&amp;TEXT(MATCH(G83,_xlfn.UNIQUE(_xlfn._xlws.FILTER($G$2:$G$500,$G$2:$G$500&lt;&gt;"")),0),"00"))</f>
        <v>E21</v>
      </c>
      <c r="J83" s="18">
        <v>42717</v>
      </c>
      <c r="K83" s="17" t="str">
        <f t="shared" si="2"/>
        <v>OK</v>
      </c>
      <c r="L83" s="20">
        <v>42724</v>
      </c>
      <c r="M83" s="20">
        <v>42769</v>
      </c>
      <c r="N83" t="str">
        <f t="shared" si="3"/>
        <v>OK</v>
      </c>
    </row>
    <row r="84" spans="1:14" ht="28.8">
      <c r="A84" s="11" t="s">
        <v>54</v>
      </c>
      <c r="B84" s="5">
        <v>42739</v>
      </c>
      <c r="C84" s="5">
        <v>42754</v>
      </c>
      <c r="D84" s="4">
        <v>2</v>
      </c>
      <c r="E84" s="5">
        <v>42734</v>
      </c>
      <c r="F84" s="4">
        <v>247.23635864257801</v>
      </c>
      <c r="G84" s="15" t="s">
        <v>48</v>
      </c>
      <c r="H84" cm="1">
        <v>1</v>
      </c>
      <c r="I84" s="4" t="str" cm="1">
        <f t="array" ref="I84">IF(G84="","","E"&amp;TEXT(MATCH(G84,_xlfn.UNIQUE(_xlfn._xlws.FILTER($G$2:$G$500,$G$2:$G$500&lt;&gt;"")),0),"00"))</f>
        <v>E21</v>
      </c>
      <c r="J84" s="18">
        <v>42717</v>
      </c>
      <c r="K84" s="17" t="str">
        <f t="shared" si="2"/>
        <v>OK</v>
      </c>
      <c r="L84" s="20">
        <v>42724</v>
      </c>
      <c r="M84" s="20">
        <v>42769</v>
      </c>
      <c r="N84" t="str">
        <f t="shared" si="3"/>
        <v>OK</v>
      </c>
    </row>
    <row r="85" spans="1:14" ht="28.8">
      <c r="A85" s="11" t="s">
        <v>54</v>
      </c>
      <c r="B85" s="5">
        <v>42739</v>
      </c>
      <c r="C85" s="5">
        <v>42754</v>
      </c>
      <c r="D85" s="4">
        <v>3</v>
      </c>
      <c r="E85" s="5">
        <v>42727</v>
      </c>
      <c r="F85" s="4">
        <v>246.60563659668</v>
      </c>
      <c r="G85" s="15" t="s">
        <v>48</v>
      </c>
      <c r="H85" cm="1">
        <v>1</v>
      </c>
      <c r="I85" s="4" t="str" cm="1">
        <f t="array" ref="I85">IF(G85="","","E"&amp;TEXT(MATCH(G85,_xlfn.UNIQUE(_xlfn._xlws.FILTER($G$2:$G$500,$G$2:$G$500&lt;&gt;"")),0),"00"))</f>
        <v>E21</v>
      </c>
      <c r="J85" s="18">
        <v>42717</v>
      </c>
      <c r="K85" s="17" t="str">
        <f t="shared" si="2"/>
        <v>OK</v>
      </c>
      <c r="L85" s="20">
        <v>42724</v>
      </c>
      <c r="M85" s="20">
        <v>42769</v>
      </c>
      <c r="N85" t="str">
        <f t="shared" si="3"/>
        <v>OK</v>
      </c>
    </row>
    <row r="86" spans="1:14" ht="43.2">
      <c r="A86" s="11" t="s">
        <v>55</v>
      </c>
      <c r="B86" s="5">
        <v>43514</v>
      </c>
      <c r="C86" s="5">
        <v>43539</v>
      </c>
      <c r="D86" s="4">
        <v>1</v>
      </c>
      <c r="E86" s="5">
        <v>43511</v>
      </c>
      <c r="F86" s="4">
        <v>165.32522583007801</v>
      </c>
      <c r="G86" s="15" t="s">
        <v>247</v>
      </c>
      <c r="H86" cm="1">
        <v>2</v>
      </c>
      <c r="I86" s="4" t="str" cm="1">
        <f t="array" ref="I86">IF(G86="","","E"&amp;TEXT(MATCH(G86,_xlfn.UNIQUE(_xlfn._xlws.FILTER($G$2:$G$500,$G$2:$G$500&lt;&gt;"")),0),"00"))</f>
        <v>E25</v>
      </c>
      <c r="J86" s="18">
        <v>43510</v>
      </c>
      <c r="K86" s="17" t="str">
        <f t="shared" si="2"/>
        <v>OK</v>
      </c>
      <c r="L86" s="20">
        <v>43511</v>
      </c>
      <c r="M86" s="20">
        <v>43556</v>
      </c>
      <c r="N86" t="str">
        <f t="shared" si="3"/>
        <v>OK</v>
      </c>
    </row>
    <row r="87" spans="1:14" ht="43.2">
      <c r="A87" s="11" t="s">
        <v>55</v>
      </c>
      <c r="B87" s="5">
        <v>43514</v>
      </c>
      <c r="C87" s="5">
        <v>43539</v>
      </c>
      <c r="D87" s="4">
        <v>2</v>
      </c>
      <c r="E87" s="5">
        <v>43524</v>
      </c>
      <c r="F87" s="4">
        <v>153.59866333007801</v>
      </c>
      <c r="G87" s="15" t="s">
        <v>247</v>
      </c>
      <c r="H87" cm="1">
        <v>2</v>
      </c>
      <c r="I87" s="4" t="str" cm="1">
        <f t="array" ref="I87">IF(G87="","","E"&amp;TEXT(MATCH(G87,_xlfn.UNIQUE(_xlfn._xlws.FILTER($G$2:$G$500,$G$2:$G$500&lt;&gt;"")),0),"00"))</f>
        <v>E25</v>
      </c>
      <c r="J87" s="18">
        <v>43510</v>
      </c>
      <c r="K87" s="17" t="str">
        <f t="shared" si="2"/>
        <v>OK</v>
      </c>
      <c r="L87" s="20">
        <v>43511</v>
      </c>
      <c r="M87" s="20">
        <v>43556</v>
      </c>
      <c r="N87" t="str">
        <f t="shared" si="3"/>
        <v>OK</v>
      </c>
    </row>
    <row r="88" spans="1:14" ht="28.8">
      <c r="A88" s="11" t="s">
        <v>55</v>
      </c>
      <c r="B88" s="5">
        <v>43514</v>
      </c>
      <c r="C88" s="5">
        <v>43539</v>
      </c>
      <c r="D88" s="4">
        <v>3</v>
      </c>
      <c r="E88" s="5">
        <v>43543</v>
      </c>
      <c r="F88" s="4">
        <v>142.805252075195</v>
      </c>
      <c r="G88" s="15" t="s">
        <v>293</v>
      </c>
      <c r="H88" cm="1">
        <v>2</v>
      </c>
      <c r="I88" s="4" t="str" cm="1">
        <f t="array" ref="I88">IF(G88="","","E"&amp;TEXT(MATCH(G88,_xlfn.UNIQUE(_xlfn._xlws.FILTER($G$2:$G$500,$G$2:$G$500&lt;&gt;"")),0),"00"))</f>
        <v>E26</v>
      </c>
      <c r="J88" s="18">
        <v>43543</v>
      </c>
      <c r="K88" s="17" t="str">
        <f t="shared" si="2"/>
        <v>OK</v>
      </c>
      <c r="L88" s="20">
        <v>43511</v>
      </c>
      <c r="M88" s="20">
        <v>43556</v>
      </c>
      <c r="N88" t="str">
        <f t="shared" si="3"/>
        <v>OK</v>
      </c>
    </row>
    <row r="89" spans="1:14" ht="43.2">
      <c r="A89" s="11" t="s">
        <v>56</v>
      </c>
      <c r="B89" s="5">
        <v>46057</v>
      </c>
      <c r="C89" s="5">
        <v>46155</v>
      </c>
      <c r="D89" s="4">
        <v>1</v>
      </c>
      <c r="E89" s="5">
        <v>46091</v>
      </c>
      <c r="F89" s="4">
        <v>627.33221435546898</v>
      </c>
      <c r="G89" s="15" t="s">
        <v>23</v>
      </c>
      <c r="H89" cm="1">
        <v>2</v>
      </c>
      <c r="I89" s="4" t="str" cm="1">
        <f t="array" ref="I89">IF(G89="","","E"&amp;TEXT(MATCH(G89,_xlfn.UNIQUE(_xlfn._xlws.FILTER($G$2:$G$500,$G$2:$G$500&lt;&gt;"")),0),"00"))</f>
        <v>E07</v>
      </c>
      <c r="J89" s="18">
        <v>46081</v>
      </c>
      <c r="K89" s="17" t="str">
        <f t="shared" si="2"/>
        <v>OK</v>
      </c>
      <c r="L89" s="20">
        <v>46084</v>
      </c>
      <c r="M89" s="20">
        <v>46128</v>
      </c>
      <c r="N89" t="str">
        <f t="shared" si="3"/>
        <v>OK</v>
      </c>
    </row>
    <row r="90" spans="1:14" ht="43.2">
      <c r="A90" s="11" t="s">
        <v>56</v>
      </c>
      <c r="B90" s="5">
        <v>46057</v>
      </c>
      <c r="C90" s="5">
        <v>46155</v>
      </c>
      <c r="D90" s="4">
        <v>2</v>
      </c>
      <c r="E90" s="5">
        <v>46085</v>
      </c>
      <c r="F90" s="4">
        <v>611.76007080078102</v>
      </c>
      <c r="G90" s="15" t="s">
        <v>23</v>
      </c>
      <c r="H90" cm="1">
        <v>2</v>
      </c>
      <c r="I90" s="4" t="str" cm="1">
        <f t="array" ref="I90">IF(G90="","","E"&amp;TEXT(MATCH(G90,_xlfn.UNIQUE(_xlfn._xlws.FILTER($G$2:$G$500,$G$2:$G$500&lt;&gt;"")),0),"00"))</f>
        <v>E07</v>
      </c>
      <c r="J90" s="18">
        <v>46081</v>
      </c>
      <c r="K90" s="17" t="str">
        <f t="shared" si="2"/>
        <v>OK</v>
      </c>
      <c r="L90" s="20">
        <v>46084</v>
      </c>
      <c r="M90" s="20">
        <v>46128</v>
      </c>
      <c r="N90" t="str">
        <f t="shared" si="3"/>
        <v>OK</v>
      </c>
    </row>
    <row r="91" spans="1:14" ht="43.2">
      <c r="A91" s="11" t="s">
        <v>56</v>
      </c>
      <c r="B91" s="5">
        <v>46057</v>
      </c>
      <c r="C91" s="5">
        <v>46155</v>
      </c>
      <c r="D91" s="4">
        <v>3</v>
      </c>
      <c r="E91" s="5">
        <v>46112</v>
      </c>
      <c r="F91" s="4">
        <v>590.88153076171898</v>
      </c>
      <c r="G91" s="15" t="s">
        <v>107</v>
      </c>
      <c r="H91" cm="1">
        <v>2</v>
      </c>
      <c r="I91" s="4" t="str" cm="1">
        <f t="array" ref="I91">IF(G91="","","E"&amp;TEXT(MATCH(G91,_xlfn.UNIQUE(_xlfn._xlws.FILTER($G$2:$G$500,$G$2:$G$500&lt;&gt;"")),0),"00"))</f>
        <v>E14</v>
      </c>
      <c r="J91" s="18">
        <v>46112</v>
      </c>
      <c r="K91" s="17" t="str">
        <f t="shared" si="2"/>
        <v>OK</v>
      </c>
      <c r="L91" s="20">
        <v>46084</v>
      </c>
      <c r="M91" s="20">
        <v>46128</v>
      </c>
      <c r="N91" t="str">
        <f t="shared" si="3"/>
        <v>OK</v>
      </c>
    </row>
    <row r="92" spans="1:14" ht="28.8">
      <c r="A92" s="11" t="s">
        <v>57</v>
      </c>
      <c r="B92" s="5">
        <v>42361</v>
      </c>
      <c r="C92" s="5">
        <v>42397</v>
      </c>
      <c r="D92" s="4">
        <v>1</v>
      </c>
      <c r="E92" s="5">
        <v>42374</v>
      </c>
      <c r="F92" s="4">
        <v>266.29644775390602</v>
      </c>
      <c r="G92" s="15" t="s">
        <v>59</v>
      </c>
      <c r="H92" cm="1">
        <v>1</v>
      </c>
      <c r="I92" s="4" t="str" cm="1">
        <f t="array" ref="I92">IF(G92="","","E"&amp;TEXT(MATCH(G92,_xlfn.UNIQUE(_xlfn._xlws.FILTER($G$2:$G$500,$G$2:$G$500&lt;&gt;"")),0),"00"))</f>
        <v>E27</v>
      </c>
      <c r="J92" s="18">
        <v>42375</v>
      </c>
      <c r="K92" s="17" t="str">
        <f t="shared" si="2"/>
        <v>OK</v>
      </c>
      <c r="L92" s="20">
        <v>42374</v>
      </c>
      <c r="M92" s="20">
        <v>42388</v>
      </c>
      <c r="N92" t="str">
        <f t="shared" si="3"/>
        <v>OK</v>
      </c>
    </row>
    <row r="93" spans="1:14" ht="28.8">
      <c r="A93" s="11" t="s">
        <v>57</v>
      </c>
      <c r="B93" s="5">
        <v>42361</v>
      </c>
      <c r="C93" s="5">
        <v>42397</v>
      </c>
      <c r="D93" s="4">
        <v>2</v>
      </c>
      <c r="E93" s="5">
        <v>42376</v>
      </c>
      <c r="F93" s="4">
        <v>264.65521240234398</v>
      </c>
      <c r="G93" s="15" t="s">
        <v>59</v>
      </c>
      <c r="H93" cm="1">
        <v>1</v>
      </c>
      <c r="I93" s="4" t="str" cm="1">
        <f t="array" ref="I93">IF(G93="","","E"&amp;TEXT(MATCH(G93,_xlfn.UNIQUE(_xlfn._xlws.FILTER($G$2:$G$500,$G$2:$G$500&lt;&gt;"")),0),"00"))</f>
        <v>E27</v>
      </c>
      <c r="J93" s="18">
        <v>42375</v>
      </c>
      <c r="K93" s="17" t="str">
        <f t="shared" si="2"/>
        <v>OK</v>
      </c>
      <c r="L93" s="20">
        <v>42374</v>
      </c>
      <c r="M93" s="20">
        <v>42388</v>
      </c>
      <c r="N93" t="str">
        <f t="shared" si="3"/>
        <v>OK</v>
      </c>
    </row>
    <row r="94" spans="1:14" ht="28.8">
      <c r="A94" s="11" t="s">
        <v>57</v>
      </c>
      <c r="B94" s="5">
        <v>42361</v>
      </c>
      <c r="C94" s="5">
        <v>42397</v>
      </c>
      <c r="D94" s="4">
        <v>3</v>
      </c>
      <c r="E94" s="5">
        <v>42377</v>
      </c>
      <c r="F94" s="4">
        <v>203.20111083984401</v>
      </c>
      <c r="G94" s="15" t="s">
        <v>59</v>
      </c>
      <c r="H94" cm="1">
        <v>1</v>
      </c>
      <c r="I94" s="4" t="str" cm="1">
        <f t="array" ref="I94">IF(G94="","","E"&amp;TEXT(MATCH(G94,_xlfn.UNIQUE(_xlfn._xlws.FILTER($G$2:$G$500,$G$2:$G$500&lt;&gt;"")),0),"00"))</f>
        <v>E27</v>
      </c>
      <c r="J94" s="18">
        <v>42375</v>
      </c>
      <c r="K94" s="17" t="str">
        <f t="shared" si="2"/>
        <v>OK</v>
      </c>
      <c r="L94" s="20">
        <v>42374</v>
      </c>
      <c r="M94" s="20">
        <v>42388</v>
      </c>
      <c r="N94" t="str">
        <f t="shared" si="3"/>
        <v>OK</v>
      </c>
    </row>
    <row r="95" spans="1:14" ht="28.8">
      <c r="A95" s="11" t="s">
        <v>60</v>
      </c>
      <c r="B95" s="5">
        <v>43823</v>
      </c>
      <c r="C95" s="5">
        <v>43852</v>
      </c>
      <c r="D95" s="4">
        <v>1</v>
      </c>
      <c r="E95" s="5">
        <v>43837</v>
      </c>
      <c r="F95" s="4">
        <v>622.11676025390602</v>
      </c>
      <c r="G95" s="15" t="s">
        <v>113</v>
      </c>
      <c r="H95" cm="1">
        <v>2</v>
      </c>
      <c r="I95" s="4" t="str" cm="1">
        <f t="array" ref="I95">IF(G95="","","E"&amp;TEXT(MATCH(G95,_xlfn.UNIQUE(_xlfn._xlws.FILTER($G$2:$G$500,$G$2:$G$500&lt;&gt;"")),0),"00"))</f>
        <v>E19</v>
      </c>
      <c r="J95" s="18">
        <v>43833</v>
      </c>
      <c r="K95" s="17" t="str">
        <f t="shared" si="2"/>
        <v>OK</v>
      </c>
      <c r="L95" s="20">
        <v>43832</v>
      </c>
      <c r="M95" s="20">
        <v>43846</v>
      </c>
      <c r="N95" t="str">
        <f t="shared" si="3"/>
        <v>OK</v>
      </c>
    </row>
    <row r="96" spans="1:14" ht="43.2">
      <c r="A96" s="11" t="s">
        <v>60</v>
      </c>
      <c r="B96" s="5">
        <v>43823</v>
      </c>
      <c r="C96" s="5">
        <v>43852</v>
      </c>
      <c r="D96" s="4">
        <v>2</v>
      </c>
      <c r="E96" s="5">
        <v>43839</v>
      </c>
      <c r="F96" s="4">
        <v>551.646240234375</v>
      </c>
      <c r="G96" s="15" t="s">
        <v>111</v>
      </c>
      <c r="H96" cm="1">
        <v>2</v>
      </c>
      <c r="I96" s="4" t="str" cm="1">
        <f t="array" ref="I96">IF(G96="","","E"&amp;TEXT(MATCH(G96,_xlfn.UNIQUE(_xlfn._xlws.FILTER($G$2:$G$500,$G$2:$G$500&lt;&gt;"")),0),"00"))</f>
        <v>E18</v>
      </c>
      <c r="J96" s="18">
        <v>43838</v>
      </c>
      <c r="K96" s="17" t="str">
        <f t="shared" si="2"/>
        <v>OK</v>
      </c>
      <c r="L96" s="20">
        <v>43832</v>
      </c>
      <c r="M96" s="20">
        <v>43846</v>
      </c>
      <c r="N96" t="str">
        <f t="shared" si="3"/>
        <v>OK</v>
      </c>
    </row>
    <row r="97" spans="1:14" ht="28.8">
      <c r="A97" s="11" t="s">
        <v>60</v>
      </c>
      <c r="B97" s="5">
        <v>43823</v>
      </c>
      <c r="C97" s="5">
        <v>43852</v>
      </c>
      <c r="D97" s="4">
        <v>3</v>
      </c>
      <c r="E97" s="5">
        <v>43836</v>
      </c>
      <c r="F97" s="4">
        <v>320.62907918294297</v>
      </c>
      <c r="G97" s="15" t="s">
        <v>113</v>
      </c>
      <c r="H97" cm="1">
        <v>2</v>
      </c>
      <c r="I97" s="4" t="str" cm="1">
        <f t="array" ref="I97">IF(G97="","","E"&amp;TEXT(MATCH(G97,_xlfn.UNIQUE(_xlfn._xlws.FILTER($G$2:$G$500,$G$2:$G$500&lt;&gt;"")),0),"00"))</f>
        <v>E19</v>
      </c>
      <c r="J97" s="18">
        <v>43833</v>
      </c>
      <c r="K97" s="17" t="str">
        <f t="shared" si="2"/>
        <v>OK</v>
      </c>
      <c r="L97" s="20">
        <v>43832</v>
      </c>
      <c r="M97" s="20">
        <v>43846</v>
      </c>
      <c r="N97" t="str">
        <f t="shared" si="3"/>
        <v>OK</v>
      </c>
    </row>
    <row r="98" spans="1:14" ht="43.2">
      <c r="A98" s="11" t="s">
        <v>61</v>
      </c>
      <c r="B98" s="5">
        <v>44320</v>
      </c>
      <c r="C98" s="5">
        <v>44354</v>
      </c>
      <c r="D98" s="4">
        <v>1</v>
      </c>
      <c r="E98" s="5">
        <v>44341</v>
      </c>
      <c r="F98" s="4">
        <v>276.60290527343801</v>
      </c>
      <c r="G98" s="15" t="s">
        <v>17</v>
      </c>
      <c r="H98" cm="1">
        <v>2</v>
      </c>
      <c r="I98" s="4" t="str" cm="1">
        <f t="array" ref="I98">IF(G98="","","E"&amp;TEXT(MATCH(G98,_xlfn.UNIQUE(_xlfn._xlws.FILTER($G$2:$G$500,$G$2:$G$500&lt;&gt;"")),0),"00"))</f>
        <v>E05</v>
      </c>
      <c r="J98" s="18">
        <v>44337</v>
      </c>
      <c r="K98" s="17" t="str">
        <f t="shared" si="2"/>
        <v>OK</v>
      </c>
      <c r="L98" s="20">
        <v>44330</v>
      </c>
      <c r="M98" s="20">
        <v>44344</v>
      </c>
      <c r="N98" t="str">
        <f t="shared" si="3"/>
        <v>OK</v>
      </c>
    </row>
    <row r="99" spans="1:14" ht="43.2">
      <c r="A99" s="11" t="s">
        <v>61</v>
      </c>
      <c r="B99" s="5">
        <v>44320</v>
      </c>
      <c r="C99" s="5">
        <v>44354</v>
      </c>
      <c r="D99" s="4">
        <v>2</v>
      </c>
      <c r="E99" s="5">
        <v>44342</v>
      </c>
      <c r="F99" s="4">
        <v>243.571212768555</v>
      </c>
      <c r="G99" s="15" t="s">
        <v>17</v>
      </c>
      <c r="H99" cm="1">
        <v>2</v>
      </c>
      <c r="I99" s="4" t="str" cm="1">
        <f t="array" ref="I99">IF(G99="","","E"&amp;TEXT(MATCH(G99,_xlfn.UNIQUE(_xlfn._xlws.FILTER($G$2:$G$500,$G$2:$G$500&lt;&gt;"")),0),"00"))</f>
        <v>E05</v>
      </c>
      <c r="J99" s="18">
        <v>44337</v>
      </c>
      <c r="K99" s="17" t="str">
        <f t="shared" si="2"/>
        <v>OK</v>
      </c>
      <c r="L99" s="20">
        <v>44330</v>
      </c>
      <c r="M99" s="20">
        <v>44344</v>
      </c>
      <c r="N99" t="str">
        <f t="shared" si="3"/>
        <v>OK</v>
      </c>
    </row>
    <row r="100" spans="1:14" ht="28.8">
      <c r="A100" s="11" t="s">
        <v>61</v>
      </c>
      <c r="B100" s="5">
        <v>44320</v>
      </c>
      <c r="C100" s="5">
        <v>44354</v>
      </c>
      <c r="D100" s="4">
        <v>3</v>
      </c>
      <c r="E100" s="5">
        <v>44335</v>
      </c>
      <c r="F100" s="4">
        <v>204.66900634765599</v>
      </c>
      <c r="G100" s="15" t="s">
        <v>115</v>
      </c>
      <c r="H100" cm="1">
        <v>2</v>
      </c>
      <c r="I100" s="4" t="str" cm="1">
        <f t="array" ref="I100">IF(G100="","","E"&amp;TEXT(MATCH(G100,_xlfn.UNIQUE(_xlfn._xlws.FILTER($G$2:$G$500,$G$2:$G$500&lt;&gt;"")),0),"00"))</f>
        <v>E20</v>
      </c>
      <c r="J100" s="18">
        <v>44326</v>
      </c>
      <c r="K100" s="17" t="str">
        <f t="shared" si="2"/>
        <v>OK</v>
      </c>
      <c r="L100" s="20">
        <v>44330</v>
      </c>
      <c r="M100" s="20">
        <v>44344</v>
      </c>
      <c r="N100" t="str">
        <f t="shared" si="3"/>
        <v>OK</v>
      </c>
    </row>
    <row r="101" spans="1:14" ht="28.8">
      <c r="A101" s="11" t="s">
        <v>62</v>
      </c>
      <c r="B101" s="5">
        <v>44602</v>
      </c>
      <c r="C101" s="5">
        <v>44636</v>
      </c>
      <c r="D101" s="4">
        <v>1</v>
      </c>
      <c r="E101" s="5">
        <v>44621</v>
      </c>
      <c r="F101" s="4">
        <v>809.48681640625</v>
      </c>
      <c r="G101" s="15" t="s">
        <v>64</v>
      </c>
      <c r="H101" cm="1">
        <v>1</v>
      </c>
      <c r="I101" s="4" t="str" cm="1">
        <f t="array" ref="I101">IF(G101="","","E"&amp;TEXT(MATCH(G101,_xlfn.UNIQUE(_xlfn._xlws.FILTER($G$2:$G$500,$G$2:$G$500&lt;&gt;"")),0),"00"))</f>
        <v>E28</v>
      </c>
      <c r="J101" s="18">
        <v>44616</v>
      </c>
      <c r="K101" s="17" t="str">
        <f t="shared" si="2"/>
        <v>OK</v>
      </c>
      <c r="L101" s="20">
        <v>44614</v>
      </c>
      <c r="M101" s="20">
        <v>44628</v>
      </c>
      <c r="N101" t="str">
        <f t="shared" si="3"/>
        <v>OK</v>
      </c>
    </row>
    <row r="102" spans="1:14" ht="28.8">
      <c r="A102" s="11" t="s">
        <v>62</v>
      </c>
      <c r="B102" s="5">
        <v>44602</v>
      </c>
      <c r="C102" s="5">
        <v>44636</v>
      </c>
      <c r="D102" s="4">
        <v>2</v>
      </c>
      <c r="E102" s="5">
        <v>44617</v>
      </c>
      <c r="F102" s="4">
        <v>797.75244140625</v>
      </c>
      <c r="G102" s="15" t="s">
        <v>64</v>
      </c>
      <c r="H102" cm="1">
        <v>1</v>
      </c>
      <c r="I102" s="4" t="str" cm="1">
        <f t="array" ref="I102">IF(G102="","","E"&amp;TEXT(MATCH(G102,_xlfn.UNIQUE(_xlfn._xlws.FILTER($G$2:$G$500,$G$2:$G$500&lt;&gt;"")),0),"00"))</f>
        <v>E28</v>
      </c>
      <c r="J102" s="18">
        <v>44616</v>
      </c>
      <c r="K102" s="17" t="str">
        <f t="shared" si="2"/>
        <v>OK</v>
      </c>
      <c r="L102" s="20">
        <v>44614</v>
      </c>
      <c r="M102" s="20">
        <v>44628</v>
      </c>
      <c r="N102" t="str">
        <f t="shared" si="3"/>
        <v>OK</v>
      </c>
    </row>
    <row r="103" spans="1:14" ht="28.8">
      <c r="A103" s="11" t="s">
        <v>62</v>
      </c>
      <c r="B103" s="5">
        <v>44602</v>
      </c>
      <c r="C103" s="5">
        <v>44636</v>
      </c>
      <c r="D103" s="4">
        <v>3</v>
      </c>
      <c r="E103" s="5">
        <v>44622</v>
      </c>
      <c r="F103" s="4">
        <v>778.19549560546898</v>
      </c>
      <c r="G103" s="15" t="s">
        <v>64</v>
      </c>
      <c r="H103" cm="1">
        <v>1</v>
      </c>
      <c r="I103" s="4" t="str" cm="1">
        <f t="array" ref="I103">IF(G103="","","E"&amp;TEXT(MATCH(G103,_xlfn.UNIQUE(_xlfn._xlws.FILTER($G$2:$G$500,$G$2:$G$500&lt;&gt;"")),0),"00"))</f>
        <v>E28</v>
      </c>
      <c r="J103" s="18">
        <v>44616</v>
      </c>
      <c r="K103" s="17" t="str">
        <f t="shared" si="2"/>
        <v>OK</v>
      </c>
      <c r="L103" s="20">
        <v>44614</v>
      </c>
      <c r="M103" s="20">
        <v>44628</v>
      </c>
      <c r="N103" t="str">
        <f t="shared" si="3"/>
        <v>OK</v>
      </c>
    </row>
    <row r="104" spans="1:14" ht="28.8">
      <c r="A104" s="11" t="s">
        <v>65</v>
      </c>
      <c r="B104" s="5">
        <v>45813</v>
      </c>
      <c r="C104" s="5">
        <v>45845</v>
      </c>
      <c r="D104" s="4">
        <v>1</v>
      </c>
      <c r="E104" s="5">
        <v>45826</v>
      </c>
      <c r="F104" s="4">
        <v>482.16638183593801</v>
      </c>
      <c r="G104" s="15" t="s">
        <v>38</v>
      </c>
      <c r="H104" cm="1">
        <v>1</v>
      </c>
      <c r="I104" s="4" t="str" cm="1">
        <f t="array" ref="I104">IF(G104="","","E"&amp;TEXT(MATCH(G104,_xlfn.UNIQUE(_xlfn._xlws.FILTER($G$2:$G$500,$G$2:$G$500&lt;&gt;"")),0),"00"))</f>
        <v>E17</v>
      </c>
      <c r="J104" s="18">
        <v>45821</v>
      </c>
      <c r="K104" s="17" t="str">
        <f t="shared" si="2"/>
        <v>OK</v>
      </c>
      <c r="L104" s="20">
        <v>45820</v>
      </c>
      <c r="M104" s="20">
        <v>45835</v>
      </c>
      <c r="N104" t="str">
        <f t="shared" si="3"/>
        <v>OK</v>
      </c>
    </row>
    <row r="105" spans="1:14" ht="28.8">
      <c r="A105" s="11" t="s">
        <v>65</v>
      </c>
      <c r="B105" s="5">
        <v>45813</v>
      </c>
      <c r="C105" s="5">
        <v>45845</v>
      </c>
      <c r="D105" s="4">
        <v>2</v>
      </c>
      <c r="E105" s="5">
        <v>45833</v>
      </c>
      <c r="F105" s="4">
        <v>462.94183349609398</v>
      </c>
      <c r="G105" s="15" t="s">
        <v>38</v>
      </c>
      <c r="H105" cm="1">
        <v>1</v>
      </c>
      <c r="I105" s="4" t="str" cm="1">
        <f t="array" ref="I105">IF(G105="","","E"&amp;TEXT(MATCH(G105,_xlfn.UNIQUE(_xlfn._xlws.FILTER($G$2:$G$500,$G$2:$G$500&lt;&gt;"")),0),"00"))</f>
        <v>E17</v>
      </c>
      <c r="J105" s="18">
        <v>45821</v>
      </c>
      <c r="K105" s="17" t="str">
        <f t="shared" si="2"/>
        <v>OK</v>
      </c>
      <c r="L105" s="20">
        <v>45820</v>
      </c>
      <c r="M105" s="20">
        <v>45835</v>
      </c>
      <c r="N105" t="str">
        <f t="shared" si="3"/>
        <v>OK</v>
      </c>
    </row>
    <row r="106" spans="1:14" ht="28.8">
      <c r="A106" s="11" t="s">
        <v>65</v>
      </c>
      <c r="B106" s="5">
        <v>45813</v>
      </c>
      <c r="C106" s="5">
        <v>45845</v>
      </c>
      <c r="D106" s="4">
        <v>3</v>
      </c>
      <c r="E106" s="5">
        <v>45832</v>
      </c>
      <c r="F106" s="4">
        <v>436.04113769531199</v>
      </c>
      <c r="G106" s="15" t="s">
        <v>38</v>
      </c>
      <c r="H106" cm="1">
        <v>1</v>
      </c>
      <c r="I106" s="4" t="str" cm="1">
        <f t="array" ref="I106">IF(G106="","","E"&amp;TEXT(MATCH(G106,_xlfn.UNIQUE(_xlfn._xlws.FILTER($G$2:$G$500,$G$2:$G$500&lt;&gt;"")),0),"00"))</f>
        <v>E17</v>
      </c>
      <c r="J106" s="18">
        <v>45821</v>
      </c>
      <c r="K106" s="17" t="str">
        <f t="shared" si="2"/>
        <v>OK</v>
      </c>
      <c r="L106" s="20">
        <v>45820</v>
      </c>
      <c r="M106" s="20">
        <v>45835</v>
      </c>
      <c r="N106" t="str">
        <f t="shared" si="3"/>
        <v>OK</v>
      </c>
    </row>
    <row r="107" spans="1:14" ht="28.8">
      <c r="A107" s="11" t="s">
        <v>66</v>
      </c>
      <c r="B107" s="5">
        <v>41705</v>
      </c>
      <c r="C107" s="5">
        <v>41723</v>
      </c>
      <c r="D107" s="4">
        <v>1</v>
      </c>
      <c r="E107" s="5">
        <v>41703</v>
      </c>
      <c r="F107" s="4">
        <v>322.08572387695301</v>
      </c>
      <c r="G107" s="15" t="s">
        <v>68</v>
      </c>
      <c r="H107" cm="1">
        <v>1</v>
      </c>
      <c r="I107" s="4" t="str" cm="1">
        <f t="array" ref="I107">IF(G107="","","E"&amp;TEXT(MATCH(G107,_xlfn.UNIQUE(_xlfn._xlws.FILTER($G$2:$G$500,$G$2:$G$500&lt;&gt;"")),0),"00"))</f>
        <v>E29</v>
      </c>
      <c r="J107" s="18">
        <v>41702</v>
      </c>
      <c r="K107" s="17" t="str">
        <f t="shared" si="2"/>
        <v>OK</v>
      </c>
      <c r="L107" s="20">
        <v>41701</v>
      </c>
      <c r="M107" s="20">
        <v>41730</v>
      </c>
      <c r="N107" t="str">
        <f t="shared" si="3"/>
        <v>OK</v>
      </c>
    </row>
    <row r="108" spans="1:14" ht="28.8">
      <c r="A108" s="11" t="s">
        <v>66</v>
      </c>
      <c r="B108" s="5">
        <v>41705</v>
      </c>
      <c r="C108" s="5">
        <v>41723</v>
      </c>
      <c r="D108" s="4">
        <v>2</v>
      </c>
      <c r="E108" s="5">
        <v>41716</v>
      </c>
      <c r="F108" s="4">
        <v>300.75808715820301</v>
      </c>
      <c r="G108" s="15" t="s">
        <v>68</v>
      </c>
      <c r="H108" cm="1">
        <v>1</v>
      </c>
      <c r="I108" s="4" t="str" cm="1">
        <f t="array" ref="I108">IF(G108="","","E"&amp;TEXT(MATCH(G108,_xlfn.UNIQUE(_xlfn._xlws.FILTER($G$2:$G$500,$G$2:$G$500&lt;&gt;"")),0),"00"))</f>
        <v>E29</v>
      </c>
      <c r="J108" s="18">
        <v>41702</v>
      </c>
      <c r="K108" s="17" t="str">
        <f t="shared" si="2"/>
        <v>OK</v>
      </c>
      <c r="L108" s="20">
        <v>41701</v>
      </c>
      <c r="M108" s="20">
        <v>41730</v>
      </c>
      <c r="N108" t="str">
        <f t="shared" si="3"/>
        <v>OK</v>
      </c>
    </row>
    <row r="109" spans="1:14" ht="28.8">
      <c r="A109" s="11" t="s">
        <v>66</v>
      </c>
      <c r="B109" s="5">
        <v>41705</v>
      </c>
      <c r="C109" s="5">
        <v>41723</v>
      </c>
      <c r="D109" s="4">
        <v>3</v>
      </c>
      <c r="E109" s="5">
        <v>41702</v>
      </c>
      <c r="F109" s="4">
        <v>267.42755126953102</v>
      </c>
      <c r="G109" s="15" t="s">
        <v>68</v>
      </c>
      <c r="H109" cm="1">
        <v>1</v>
      </c>
      <c r="I109" s="4" t="str" cm="1">
        <f t="array" ref="I109">IF(G109="","","E"&amp;TEXT(MATCH(G109,_xlfn.UNIQUE(_xlfn._xlws.FILTER($G$2:$G$500,$G$2:$G$500&lt;&gt;"")),0),"00"))</f>
        <v>E29</v>
      </c>
      <c r="J109" s="18">
        <v>41702</v>
      </c>
      <c r="K109" s="17" t="str">
        <f t="shared" si="2"/>
        <v>OK</v>
      </c>
      <c r="L109" s="20">
        <v>41701</v>
      </c>
      <c r="M109" s="20">
        <v>41730</v>
      </c>
      <c r="N109" t="str">
        <f t="shared" si="3"/>
        <v>OK</v>
      </c>
    </row>
    <row r="110" spans="1:14" ht="28.8">
      <c r="A110" s="11" t="s">
        <v>69</v>
      </c>
      <c r="B110" s="5">
        <v>41865</v>
      </c>
      <c r="C110" s="5">
        <v>41879</v>
      </c>
      <c r="D110" s="4">
        <v>1</v>
      </c>
      <c r="E110" s="5">
        <v>41886</v>
      </c>
      <c r="F110" s="4">
        <v>297.44921875</v>
      </c>
      <c r="G110" s="15" t="s">
        <v>124</v>
      </c>
      <c r="H110" cm="1">
        <v>3</v>
      </c>
      <c r="I110" s="4" t="str" cm="1">
        <f t="array" ref="I110">IF(G110="","","E"&amp;TEXT(MATCH(G110,_xlfn.UNIQUE(_xlfn._xlws.FILTER($G$2:$G$500,$G$2:$G$500&lt;&gt;"")),0),"00"))</f>
        <v>E30</v>
      </c>
      <c r="J110" s="18">
        <v>41886</v>
      </c>
      <c r="K110" s="17" t="str">
        <f t="shared" si="2"/>
        <v>OK</v>
      </c>
      <c r="L110" s="20">
        <v>41858</v>
      </c>
      <c r="M110" s="20">
        <v>41886</v>
      </c>
      <c r="N110" t="str">
        <f t="shared" si="3"/>
        <v>OK</v>
      </c>
    </row>
    <row r="111" spans="1:14" ht="28.8">
      <c r="A111" s="11" t="s">
        <v>69</v>
      </c>
      <c r="B111" s="5">
        <v>41865</v>
      </c>
      <c r="C111" s="5">
        <v>41879</v>
      </c>
      <c r="D111" s="4">
        <v>2</v>
      </c>
      <c r="E111" s="5">
        <v>41884</v>
      </c>
      <c r="F111" s="4">
        <v>294.84829711914102</v>
      </c>
      <c r="G111" s="15" t="s">
        <v>126</v>
      </c>
      <c r="H111" cm="1">
        <v>3</v>
      </c>
      <c r="I111" s="4" t="str" cm="1">
        <f t="array" ref="I111">IF(G111="","","E"&amp;TEXT(MATCH(G111,_xlfn.UNIQUE(_xlfn._xlws.FILTER($G$2:$G$500,$G$2:$G$500&lt;&gt;"")),0),"00"))</f>
        <v>E31</v>
      </c>
      <c r="J111" s="18">
        <v>41884</v>
      </c>
      <c r="K111" s="17" t="str">
        <f t="shared" si="2"/>
        <v>OK</v>
      </c>
      <c r="L111" s="20">
        <v>41858</v>
      </c>
      <c r="M111" s="20">
        <v>41886</v>
      </c>
      <c r="N111" t="str">
        <f t="shared" si="3"/>
        <v>OK</v>
      </c>
    </row>
    <row r="112" spans="1:14" ht="28.8">
      <c r="A112" s="11" t="s">
        <v>69</v>
      </c>
      <c r="B112" s="5">
        <v>41865</v>
      </c>
      <c r="C112" s="5">
        <v>41879</v>
      </c>
      <c r="D112" s="4">
        <v>3</v>
      </c>
      <c r="E112" s="5">
        <v>41859</v>
      </c>
      <c r="F112" s="4">
        <v>285.30001831054699</v>
      </c>
      <c r="G112" s="15" t="s">
        <v>128</v>
      </c>
      <c r="H112" cm="1">
        <v>3</v>
      </c>
      <c r="I112" s="4" t="str" cm="1">
        <f t="array" ref="I112">IF(G112="","","E"&amp;TEXT(MATCH(G112,_xlfn.UNIQUE(_xlfn._xlws.FILTER($G$2:$G$500,$G$2:$G$500&lt;&gt;"")),0),"00"))</f>
        <v>E32</v>
      </c>
      <c r="J112" s="18">
        <v>41859</v>
      </c>
      <c r="K112" s="17" t="str">
        <f t="shared" si="2"/>
        <v>OK</v>
      </c>
      <c r="L112" s="20">
        <v>41858</v>
      </c>
      <c r="M112" s="20">
        <v>41886</v>
      </c>
      <c r="N112" t="str">
        <f t="shared" si="3"/>
        <v>OK</v>
      </c>
    </row>
    <row r="113" spans="1:14" ht="28.8">
      <c r="A113" s="11" t="s">
        <v>70</v>
      </c>
      <c r="B113" s="5">
        <v>42307</v>
      </c>
      <c r="C113" s="5">
        <v>42355</v>
      </c>
      <c r="D113" s="4">
        <v>1</v>
      </c>
      <c r="E113" s="5">
        <v>42325</v>
      </c>
      <c r="F113" s="4">
        <v>266.17459106445301</v>
      </c>
      <c r="G113" s="15" t="s">
        <v>93</v>
      </c>
      <c r="H113" cm="1">
        <v>2</v>
      </c>
      <c r="I113" s="4" t="str" cm="1">
        <f t="array" ref="I113">IF(G113="","","E"&amp;TEXT(MATCH(G113,_xlfn.UNIQUE(_xlfn._xlws.FILTER($G$2:$G$500,$G$2:$G$500&lt;&gt;"")),0),"00"))</f>
        <v>E03</v>
      </c>
      <c r="J113" s="18">
        <v>42321</v>
      </c>
      <c r="K113" s="17" t="str">
        <f t="shared" si="2"/>
        <v>OK</v>
      </c>
      <c r="L113" s="20">
        <v>42324</v>
      </c>
      <c r="M113" s="20">
        <v>42352</v>
      </c>
      <c r="N113" t="str">
        <f t="shared" si="3"/>
        <v>OK</v>
      </c>
    </row>
    <row r="114" spans="1:14" ht="43.2">
      <c r="A114" s="11" t="s">
        <v>70</v>
      </c>
      <c r="B114" s="5">
        <v>42307</v>
      </c>
      <c r="C114" s="5">
        <v>42355</v>
      </c>
      <c r="D114" s="4">
        <v>2</v>
      </c>
      <c r="E114" s="5">
        <v>42332</v>
      </c>
      <c r="F114" s="4">
        <v>238.09420776367199</v>
      </c>
      <c r="G114" s="15" t="s">
        <v>95</v>
      </c>
      <c r="H114" cm="1">
        <v>2</v>
      </c>
      <c r="I114" s="4" t="str" cm="1">
        <f t="array" ref="I114">IF(G114="","","E"&amp;TEXT(MATCH(G114,_xlfn.UNIQUE(_xlfn._xlws.FILTER($G$2:$G$500,$G$2:$G$500&lt;&gt;"")),0),"00"))</f>
        <v>E04</v>
      </c>
      <c r="J114" s="18">
        <v>42332</v>
      </c>
      <c r="K114" s="17" t="str">
        <f t="shared" si="2"/>
        <v>OK</v>
      </c>
      <c r="L114" s="20">
        <v>42324</v>
      </c>
      <c r="M114" s="20">
        <v>42352</v>
      </c>
      <c r="N114" t="str">
        <f t="shared" si="3"/>
        <v>OK</v>
      </c>
    </row>
    <row r="115" spans="1:14" ht="43.2">
      <c r="A115" s="11" t="s">
        <v>70</v>
      </c>
      <c r="B115" s="5">
        <v>42307</v>
      </c>
      <c r="C115" s="5">
        <v>42355</v>
      </c>
      <c r="D115" s="4">
        <v>3</v>
      </c>
      <c r="E115" s="5">
        <v>42335</v>
      </c>
      <c r="F115" s="4">
        <v>212.76165771484401</v>
      </c>
      <c r="G115" s="15" t="s">
        <v>95</v>
      </c>
      <c r="H115" cm="1">
        <v>2</v>
      </c>
      <c r="I115" s="4" t="str" cm="1">
        <f t="array" ref="I115">IF(G115="","","E"&amp;TEXT(MATCH(G115,_xlfn.UNIQUE(_xlfn._xlws.FILTER($G$2:$G$500,$G$2:$G$500&lt;&gt;"")),0),"00"))</f>
        <v>E04</v>
      </c>
      <c r="J115" s="18">
        <v>42332</v>
      </c>
      <c r="K115" s="17" t="str">
        <f t="shared" si="2"/>
        <v>OK</v>
      </c>
      <c r="L115" s="20">
        <v>42324</v>
      </c>
      <c r="M115" s="20">
        <v>42352</v>
      </c>
      <c r="N115" t="str">
        <f t="shared" si="3"/>
        <v>OK</v>
      </c>
    </row>
    <row r="116" spans="1:14" ht="43.2">
      <c r="A116" s="11" t="s">
        <v>71</v>
      </c>
      <c r="B116" s="5">
        <v>43728</v>
      </c>
      <c r="C116" s="5">
        <v>43746</v>
      </c>
      <c r="D116" s="4">
        <v>1</v>
      </c>
      <c r="E116" s="5">
        <v>43725</v>
      </c>
      <c r="F116" s="4">
        <v>325.92974853515602</v>
      </c>
      <c r="G116" s="15" t="s">
        <v>103</v>
      </c>
      <c r="H116" cm="1">
        <v>2</v>
      </c>
      <c r="I116" s="4" t="str" cm="1">
        <f t="array" ref="I116">IF(G116="","","E"&amp;TEXT(MATCH(G116,_xlfn.UNIQUE(_xlfn._xlws.FILTER($G$2:$G$500,$G$2:$G$500&lt;&gt;"")),0),"00"))</f>
        <v>E11</v>
      </c>
      <c r="J116" s="18">
        <v>43722</v>
      </c>
      <c r="K116" s="17" t="str">
        <f t="shared" si="2"/>
        <v>OK</v>
      </c>
      <c r="L116" s="20">
        <v>43725</v>
      </c>
      <c r="M116" s="20">
        <v>43754</v>
      </c>
      <c r="N116" t="str">
        <f t="shared" si="3"/>
        <v>OK</v>
      </c>
    </row>
    <row r="117" spans="1:14" ht="28.8">
      <c r="A117" s="11" t="s">
        <v>71</v>
      </c>
      <c r="B117" s="5">
        <v>43728</v>
      </c>
      <c r="C117" s="5">
        <v>43746</v>
      </c>
      <c r="D117" s="4">
        <v>2</v>
      </c>
      <c r="E117" s="5">
        <v>43754</v>
      </c>
      <c r="F117" s="4">
        <v>283.49554443359398</v>
      </c>
      <c r="G117" s="15" t="s">
        <v>105</v>
      </c>
      <c r="H117" cm="1">
        <v>2</v>
      </c>
      <c r="I117" s="4" t="str" cm="1">
        <f t="array" ref="I117">IF(G117="","","E"&amp;TEXT(MATCH(G117,_xlfn.UNIQUE(_xlfn._xlws.FILTER($G$2:$G$500,$G$2:$G$500&lt;&gt;"")),0),"00"))</f>
        <v>E12</v>
      </c>
      <c r="J117" s="18">
        <v>43747</v>
      </c>
      <c r="K117" s="17" t="str">
        <f t="shared" si="2"/>
        <v>OK</v>
      </c>
      <c r="L117" s="20">
        <v>43725</v>
      </c>
      <c r="M117" s="20">
        <v>43754</v>
      </c>
      <c r="N117" t="str">
        <f t="shared" si="3"/>
        <v>OK</v>
      </c>
    </row>
    <row r="118" spans="1:14" ht="43.2">
      <c r="A118" s="11" t="s">
        <v>71</v>
      </c>
      <c r="B118" s="5">
        <v>43728</v>
      </c>
      <c r="C118" s="5">
        <v>43746</v>
      </c>
      <c r="D118" s="4">
        <v>3</v>
      </c>
      <c r="E118" s="5">
        <v>43727</v>
      </c>
      <c r="F118" s="4">
        <v>240.13623046875</v>
      </c>
      <c r="G118" s="15" t="s">
        <v>103</v>
      </c>
      <c r="H118" cm="1">
        <v>2</v>
      </c>
      <c r="I118" s="4" t="str" cm="1">
        <f t="array" ref="I118">IF(G118="","","E"&amp;TEXT(MATCH(G118,_xlfn.UNIQUE(_xlfn._xlws.FILTER($G$2:$G$500,$G$2:$G$500&lt;&gt;"")),0),"00"))</f>
        <v>E11</v>
      </c>
      <c r="J118" s="18">
        <v>43722</v>
      </c>
      <c r="K118" s="17" t="str">
        <f t="shared" si="2"/>
        <v>OK</v>
      </c>
      <c r="L118" s="20">
        <v>43725</v>
      </c>
      <c r="M118" s="20">
        <v>43754</v>
      </c>
      <c r="N118" t="str">
        <f t="shared" si="3"/>
        <v>OK</v>
      </c>
    </row>
    <row r="119" spans="1:14" ht="43.2">
      <c r="A119" s="11" t="s">
        <v>72</v>
      </c>
      <c r="B119" s="5">
        <v>46107</v>
      </c>
      <c r="C119" s="5">
        <v>46120</v>
      </c>
      <c r="D119" s="4">
        <v>1</v>
      </c>
      <c r="E119" s="5">
        <v>46112</v>
      </c>
      <c r="F119" s="4">
        <v>492.85354614257801</v>
      </c>
      <c r="G119" s="15" t="s">
        <v>107</v>
      </c>
      <c r="H119" cm="1">
        <v>3</v>
      </c>
      <c r="I119" s="4" t="str" cm="1">
        <f t="array" ref="I119">IF(G119="","","E"&amp;TEXT(MATCH(G119,_xlfn.UNIQUE(_xlfn._xlws.FILTER($G$2:$G$500,$G$2:$G$500&lt;&gt;"")),0),"00"))</f>
        <v>E14</v>
      </c>
      <c r="J119" s="18">
        <v>46112</v>
      </c>
      <c r="K119" s="17" t="str">
        <f t="shared" si="2"/>
        <v>OK</v>
      </c>
      <c r="L119" s="20">
        <v>46098</v>
      </c>
      <c r="M119" s="20">
        <v>46128</v>
      </c>
      <c r="N119" t="str">
        <f t="shared" si="3"/>
        <v>OK</v>
      </c>
    </row>
    <row r="120" spans="1:14" ht="43.2">
      <c r="A120" s="11" t="s">
        <v>72</v>
      </c>
      <c r="B120" s="5">
        <v>46107</v>
      </c>
      <c r="C120" s="5">
        <v>46120</v>
      </c>
      <c r="D120" s="4">
        <v>2</v>
      </c>
      <c r="E120" s="5">
        <v>46121</v>
      </c>
      <c r="F120" s="4">
        <v>488.78439331054699</v>
      </c>
      <c r="G120" s="15" t="s">
        <v>130</v>
      </c>
      <c r="H120" cm="1">
        <v>3</v>
      </c>
      <c r="I120" s="4" t="str" cm="1">
        <f t="array" ref="I120">IF(G120="","","E"&amp;TEXT(MATCH(G120,_xlfn.UNIQUE(_xlfn._xlws.FILTER($G$2:$G$500,$G$2:$G$500&lt;&gt;"")),0),"00"))</f>
        <v>E33</v>
      </c>
      <c r="J120" s="18">
        <v>46120</v>
      </c>
      <c r="K120" s="17" t="str">
        <f t="shared" si="2"/>
        <v>OK</v>
      </c>
      <c r="L120" s="20">
        <v>46098</v>
      </c>
      <c r="M120" s="20">
        <v>46128</v>
      </c>
      <c r="N120" t="str">
        <f t="shared" si="3"/>
        <v>OK</v>
      </c>
    </row>
    <row r="121" spans="1:14" ht="43.2">
      <c r="A121" s="11" t="s">
        <v>72</v>
      </c>
      <c r="B121" s="5">
        <v>46107</v>
      </c>
      <c r="C121" s="5">
        <v>46120</v>
      </c>
      <c r="D121" s="4">
        <v>3</v>
      </c>
      <c r="E121" s="5">
        <v>46126</v>
      </c>
      <c r="F121" s="4">
        <v>475.73468017578102</v>
      </c>
      <c r="G121" s="15" t="s">
        <v>132</v>
      </c>
      <c r="H121" cm="1">
        <v>3</v>
      </c>
      <c r="I121" s="4" t="str" cm="1">
        <f t="array" ref="I121">IF(G121="","","E"&amp;TEXT(MATCH(G121,_xlfn.UNIQUE(_xlfn._xlws.FILTER($G$2:$G$500,$G$2:$G$500&lt;&gt;"")),0),"00"))</f>
        <v>E34</v>
      </c>
      <c r="J121" s="18">
        <v>46125</v>
      </c>
      <c r="K121" s="17" t="str">
        <f t="shared" si="2"/>
        <v>OK</v>
      </c>
      <c r="L121" s="20">
        <v>46098</v>
      </c>
      <c r="M121" s="20">
        <v>46128</v>
      </c>
      <c r="N121" t="str">
        <f t="shared" si="3"/>
        <v>OK</v>
      </c>
    </row>
    <row r="122" spans="1:14" ht="43.2">
      <c r="A122" s="11" t="s">
        <v>73</v>
      </c>
      <c r="B122" s="5">
        <v>42930</v>
      </c>
      <c r="C122" s="5">
        <v>42944</v>
      </c>
      <c r="D122" s="4">
        <v>1</v>
      </c>
      <c r="E122" s="5">
        <v>42957</v>
      </c>
      <c r="F122" s="4">
        <v>330.54043579101602</v>
      </c>
      <c r="G122" s="15" t="s">
        <v>134</v>
      </c>
      <c r="H122" cm="1">
        <v>2</v>
      </c>
      <c r="I122" s="4" t="str" cm="1">
        <f t="array" ref="I122">IF(G122="","","E"&amp;TEXT(MATCH(G122,_xlfn.UNIQUE(_xlfn._xlws.FILTER($G$2:$G$500,$G$2:$G$500&lt;&gt;"")),0),"00"))</f>
        <v>E35</v>
      </c>
      <c r="J122" s="18">
        <v>42955</v>
      </c>
      <c r="K122" s="17" t="str">
        <f t="shared" si="2"/>
        <v>OK</v>
      </c>
      <c r="L122" s="20">
        <v>42920</v>
      </c>
      <c r="M122" s="20">
        <v>42963</v>
      </c>
      <c r="N122" t="str">
        <f t="shared" si="3"/>
        <v>OK</v>
      </c>
    </row>
    <row r="123" spans="1:14" ht="43.2">
      <c r="A123" s="11" t="s">
        <v>73</v>
      </c>
      <c r="B123" s="5">
        <v>42930</v>
      </c>
      <c r="C123" s="5">
        <v>42944</v>
      </c>
      <c r="D123" s="4">
        <v>2</v>
      </c>
      <c r="E123" s="5">
        <v>42921</v>
      </c>
      <c r="F123" s="4">
        <v>287.85806274414102</v>
      </c>
      <c r="G123" s="15" t="s">
        <v>136</v>
      </c>
      <c r="H123" cm="1">
        <v>2</v>
      </c>
      <c r="I123" s="4" t="str" cm="1">
        <f t="array" ref="I123">IF(G123="","","E"&amp;TEXT(MATCH(G123,_xlfn.UNIQUE(_xlfn._xlws.FILTER($G$2:$G$500,$G$2:$G$500&lt;&gt;"")),0),"00"))</f>
        <v>E36</v>
      </c>
      <c r="J123" s="18">
        <v>42920</v>
      </c>
      <c r="K123" s="17" t="str">
        <f t="shared" si="2"/>
        <v>OK</v>
      </c>
      <c r="L123" s="20">
        <v>42920</v>
      </c>
      <c r="M123" s="20">
        <v>42963</v>
      </c>
      <c r="N123" t="str">
        <f t="shared" si="3"/>
        <v>OK</v>
      </c>
    </row>
    <row r="124" spans="1:14" ht="43.2">
      <c r="A124" s="11" t="s">
        <v>73</v>
      </c>
      <c r="B124" s="5">
        <v>42930</v>
      </c>
      <c r="C124" s="5">
        <v>42944</v>
      </c>
      <c r="D124" s="4">
        <v>3</v>
      </c>
      <c r="E124" s="5">
        <v>42922</v>
      </c>
      <c r="F124" s="4">
        <v>267.86099243164102</v>
      </c>
      <c r="G124" s="15" t="s">
        <v>136</v>
      </c>
      <c r="H124" cm="1">
        <v>2</v>
      </c>
      <c r="I124" s="4" t="str" cm="1">
        <f t="array" ref="I124">IF(G124="","","E"&amp;TEXT(MATCH(G124,_xlfn.UNIQUE(_xlfn._xlws.FILTER($G$2:$G$500,$G$2:$G$500&lt;&gt;"")),0),"00"))</f>
        <v>E36</v>
      </c>
      <c r="J124" s="18">
        <v>42920</v>
      </c>
      <c r="K124" s="17" t="str">
        <f t="shared" si="2"/>
        <v>OK</v>
      </c>
      <c r="L124" s="20">
        <v>42920</v>
      </c>
      <c r="M124" s="20">
        <v>42963</v>
      </c>
      <c r="N124" t="str">
        <f t="shared" si="3"/>
        <v>OK</v>
      </c>
    </row>
    <row r="125" spans="1:14" ht="28.8">
      <c r="A125" s="11" t="s">
        <v>74</v>
      </c>
      <c r="B125" s="5">
        <v>44616</v>
      </c>
      <c r="C125" s="5">
        <v>44634</v>
      </c>
      <c r="D125" s="4">
        <v>1</v>
      </c>
      <c r="E125" s="5">
        <v>44621</v>
      </c>
      <c r="F125" s="4">
        <v>809.48681640625</v>
      </c>
      <c r="G125" s="15" t="s">
        <v>64</v>
      </c>
      <c r="H125" cm="1">
        <v>1</v>
      </c>
      <c r="I125" s="4" t="str" cm="1">
        <f t="array" ref="I125">IF(G125="","","E"&amp;TEXT(MATCH(G125,_xlfn.UNIQUE(_xlfn._xlws.FILTER($G$2:$G$500,$G$2:$G$500&lt;&gt;"")),0),"00"))</f>
        <v>E28</v>
      </c>
      <c r="J125" s="18">
        <v>44616</v>
      </c>
      <c r="K125" s="17" t="str">
        <f t="shared" si="2"/>
        <v>OK</v>
      </c>
      <c r="L125" s="20">
        <v>44607</v>
      </c>
      <c r="M125" s="20">
        <v>44649</v>
      </c>
      <c r="N125" t="str">
        <f t="shared" si="3"/>
        <v>OK</v>
      </c>
    </row>
    <row r="126" spans="1:14" ht="28.8">
      <c r="A126" s="11" t="s">
        <v>74</v>
      </c>
      <c r="B126" s="5">
        <v>44616</v>
      </c>
      <c r="C126" s="5">
        <v>44634</v>
      </c>
      <c r="D126" s="4">
        <v>2</v>
      </c>
      <c r="E126" s="5">
        <v>44617</v>
      </c>
      <c r="F126" s="4">
        <v>797.75244140625</v>
      </c>
      <c r="G126" s="15" t="s">
        <v>64</v>
      </c>
      <c r="H126" cm="1">
        <v>1</v>
      </c>
      <c r="I126" s="4" t="str" cm="1">
        <f t="array" ref="I126">IF(G126="","","E"&amp;TEXT(MATCH(G126,_xlfn.UNIQUE(_xlfn._xlws.FILTER($G$2:$G$500,$G$2:$G$500&lt;&gt;"")),0),"00"))</f>
        <v>E28</v>
      </c>
      <c r="J126" s="18">
        <v>44616</v>
      </c>
      <c r="K126" s="17" t="str">
        <f t="shared" si="2"/>
        <v>OK</v>
      </c>
      <c r="L126" s="20">
        <v>44607</v>
      </c>
      <c r="M126" s="20">
        <v>44649</v>
      </c>
      <c r="N126" t="str">
        <f t="shared" si="3"/>
        <v>OK</v>
      </c>
    </row>
    <row r="127" spans="1:14" ht="28.8">
      <c r="A127" s="11" t="s">
        <v>74</v>
      </c>
      <c r="B127" s="5">
        <v>44616</v>
      </c>
      <c r="C127" s="5">
        <v>44634</v>
      </c>
      <c r="D127" s="4">
        <v>3</v>
      </c>
      <c r="E127" s="5">
        <v>44622</v>
      </c>
      <c r="F127" s="4">
        <v>778.19549560546898</v>
      </c>
      <c r="G127" s="15" t="s">
        <v>64</v>
      </c>
      <c r="H127" cm="1">
        <v>1</v>
      </c>
      <c r="I127" s="4" t="str" cm="1">
        <f t="array" ref="I127">IF(G127="","","E"&amp;TEXT(MATCH(G127,_xlfn.UNIQUE(_xlfn._xlws.FILTER($G$2:$G$500,$G$2:$G$500&lt;&gt;"")),0),"00"))</f>
        <v>E28</v>
      </c>
      <c r="J127" s="18">
        <v>44616</v>
      </c>
      <c r="K127" s="17" t="str">
        <f t="shared" si="2"/>
        <v>OK</v>
      </c>
      <c r="L127" s="20">
        <v>44607</v>
      </c>
      <c r="M127" s="20">
        <v>44649</v>
      </c>
      <c r="N127" t="str">
        <f t="shared" si="3"/>
        <v>OK</v>
      </c>
    </row>
    <row r="128" spans="1:14" ht="28.8">
      <c r="A128" s="11" t="s">
        <v>75</v>
      </c>
      <c r="B128" s="5">
        <v>44753</v>
      </c>
      <c r="C128" s="5">
        <v>44767</v>
      </c>
      <c r="D128" s="4">
        <v>1</v>
      </c>
      <c r="E128" s="5">
        <v>44777</v>
      </c>
      <c r="F128" s="4">
        <v>285.93466186523398</v>
      </c>
      <c r="G128" s="15" t="s">
        <v>77</v>
      </c>
      <c r="H128" cm="1">
        <v>1</v>
      </c>
      <c r="I128" s="4" t="str" cm="1">
        <f t="array" ref="I128">IF(G128="","","E"&amp;TEXT(MATCH(G128,_xlfn.UNIQUE(_xlfn._xlws.FILTER($G$2:$G$500,$G$2:$G$500&lt;&gt;"")),0),"00"))</f>
        <v>E37</v>
      </c>
      <c r="J128" s="18">
        <v>44775</v>
      </c>
      <c r="K128" s="17" t="str">
        <f t="shared" si="2"/>
        <v>OK</v>
      </c>
      <c r="L128" s="20">
        <v>44736</v>
      </c>
      <c r="M128" s="20">
        <v>44778</v>
      </c>
      <c r="N128" t="str">
        <f t="shared" si="3"/>
        <v>OK</v>
      </c>
    </row>
    <row r="129" spans="1:14" ht="28.8">
      <c r="A129" s="11" t="s">
        <v>75</v>
      </c>
      <c r="B129" s="5">
        <v>44753</v>
      </c>
      <c r="C129" s="5">
        <v>44767</v>
      </c>
      <c r="D129" s="4">
        <v>2</v>
      </c>
      <c r="E129" s="5">
        <v>44776</v>
      </c>
      <c r="F129" s="4">
        <v>264.58355712890602</v>
      </c>
      <c r="G129" s="15" t="s">
        <v>77</v>
      </c>
      <c r="H129" cm="1">
        <v>1</v>
      </c>
      <c r="I129" s="4" t="str" cm="1">
        <f t="array" ref="I129">IF(G129="","","E"&amp;TEXT(MATCH(G129,_xlfn.UNIQUE(_xlfn._xlws.FILTER($G$2:$G$500,$G$2:$G$500&lt;&gt;"")),0),"00"))</f>
        <v>E37</v>
      </c>
      <c r="J129" s="18">
        <v>44775</v>
      </c>
      <c r="K129" s="17" t="str">
        <f t="shared" si="2"/>
        <v>OK</v>
      </c>
      <c r="L129" s="20">
        <v>44736</v>
      </c>
      <c r="M129" s="20">
        <v>44778</v>
      </c>
      <c r="N129" t="str">
        <f t="shared" si="3"/>
        <v>OK</v>
      </c>
    </row>
    <row r="130" spans="1:14" ht="28.8">
      <c r="A130" s="11" t="s">
        <v>75</v>
      </c>
      <c r="B130" s="5">
        <v>44753</v>
      </c>
      <c r="C130" s="5">
        <v>44767</v>
      </c>
      <c r="D130" s="4">
        <v>3</v>
      </c>
      <c r="E130" s="5">
        <v>44775</v>
      </c>
      <c r="F130" s="4">
        <v>262.33370971679699</v>
      </c>
      <c r="G130" s="15" t="s">
        <v>77</v>
      </c>
      <c r="H130" cm="1">
        <v>1</v>
      </c>
      <c r="I130" s="4" t="str" cm="1">
        <f t="array" ref="I130">IF(G130="","","E"&amp;TEXT(MATCH(G130,_xlfn.UNIQUE(_xlfn._xlws.FILTER($G$2:$G$500,$G$2:$G$500&lt;&gt;"")),0),"00"))</f>
        <v>E37</v>
      </c>
      <c r="J130" s="18">
        <v>44775</v>
      </c>
      <c r="K130" s="17" t="str">
        <f t="shared" ref="K130:K136" si="4">IF(E130&lt;J130-1,"FLAG","OK")</f>
        <v>OK</v>
      </c>
      <c r="L130" s="20">
        <v>44736</v>
      </c>
      <c r="M130" s="20">
        <v>44778</v>
      </c>
      <c r="N130" t="str">
        <f t="shared" ref="N130:N136" si="5">IF(OR(E130&lt;L130,E130&gt;M130),"FLAG","OK")</f>
        <v>OK</v>
      </c>
    </row>
    <row r="131" spans="1:14" ht="28.8">
      <c r="A131" s="11" t="s">
        <v>78</v>
      </c>
      <c r="B131" s="5">
        <v>45796</v>
      </c>
      <c r="C131" s="5">
        <v>45821</v>
      </c>
      <c r="D131" s="4">
        <v>1</v>
      </c>
      <c r="E131" s="5">
        <v>45826</v>
      </c>
      <c r="F131" s="4">
        <v>482.16638183593801</v>
      </c>
      <c r="G131" s="15" t="s">
        <v>38</v>
      </c>
      <c r="H131" cm="1">
        <v>1</v>
      </c>
      <c r="I131" s="4" t="str" cm="1">
        <f t="array" ref="I131">IF(G131="","","E"&amp;TEXT(MATCH(G131,_xlfn.UNIQUE(_xlfn._xlws.FILTER($G$2:$G$500,$G$2:$G$500&lt;&gt;"")),0),"00"))</f>
        <v>E17</v>
      </c>
      <c r="J131" s="18">
        <v>45821</v>
      </c>
      <c r="K131" s="17" t="str">
        <f t="shared" si="4"/>
        <v>OK</v>
      </c>
      <c r="L131" s="20">
        <v>45792</v>
      </c>
      <c r="M131" s="20">
        <v>45835</v>
      </c>
      <c r="N131" t="str">
        <f t="shared" si="5"/>
        <v>OK</v>
      </c>
    </row>
    <row r="132" spans="1:14" ht="28.8">
      <c r="A132" s="11" t="s">
        <v>78</v>
      </c>
      <c r="B132" s="5">
        <v>45796</v>
      </c>
      <c r="C132" s="5">
        <v>45821</v>
      </c>
      <c r="D132" s="4">
        <v>2</v>
      </c>
      <c r="E132" s="5">
        <v>45833</v>
      </c>
      <c r="F132" s="4">
        <v>462.94183349609398</v>
      </c>
      <c r="G132" s="15" t="s">
        <v>38</v>
      </c>
      <c r="H132" cm="1">
        <v>1</v>
      </c>
      <c r="I132" s="4" t="str" cm="1">
        <f t="array" ref="I132">IF(G132="","","E"&amp;TEXT(MATCH(G132,_xlfn.UNIQUE(_xlfn._xlws.FILTER($G$2:$G$500,$G$2:$G$500&lt;&gt;"")),0),"00"))</f>
        <v>E17</v>
      </c>
      <c r="J132" s="18">
        <v>45821</v>
      </c>
      <c r="K132" s="17" t="str">
        <f t="shared" si="4"/>
        <v>OK</v>
      </c>
      <c r="L132" s="20">
        <v>45792</v>
      </c>
      <c r="M132" s="20">
        <v>45835</v>
      </c>
      <c r="N132" t="str">
        <f t="shared" si="5"/>
        <v>OK</v>
      </c>
    </row>
    <row r="133" spans="1:14" ht="28.8">
      <c r="A133" s="11" t="s">
        <v>78</v>
      </c>
      <c r="B133" s="5">
        <v>45796</v>
      </c>
      <c r="C133" s="5">
        <v>45821</v>
      </c>
      <c r="D133" s="4">
        <v>3</v>
      </c>
      <c r="E133" s="5">
        <v>45832</v>
      </c>
      <c r="F133" s="4">
        <v>436.04113769531199</v>
      </c>
      <c r="G133" s="15" t="s">
        <v>38</v>
      </c>
      <c r="H133" cm="1">
        <v>1</v>
      </c>
      <c r="I133" s="4" t="str" cm="1">
        <f t="array" ref="I133">IF(G133="","","E"&amp;TEXT(MATCH(G133,_xlfn.UNIQUE(_xlfn._xlws.FILTER($G$2:$G$500,$G$2:$G$500&lt;&gt;"")),0),"00"))</f>
        <v>E17</v>
      </c>
      <c r="J133" s="18">
        <v>45821</v>
      </c>
      <c r="K133" s="17" t="str">
        <f t="shared" si="4"/>
        <v>OK</v>
      </c>
      <c r="L133" s="20">
        <v>45792</v>
      </c>
      <c r="M133" s="20">
        <v>45835</v>
      </c>
      <c r="N133" t="str">
        <f t="shared" si="5"/>
        <v>OK</v>
      </c>
    </row>
    <row r="134" spans="1:14" ht="43.2">
      <c r="A134" s="11" t="s">
        <v>79</v>
      </c>
      <c r="B134" s="5">
        <v>46099</v>
      </c>
      <c r="C134" s="5">
        <v>46111</v>
      </c>
      <c r="D134" s="4">
        <v>1</v>
      </c>
      <c r="E134" s="5">
        <v>46085</v>
      </c>
      <c r="F134" s="4">
        <v>548.06591796875</v>
      </c>
      <c r="G134" s="15" t="s">
        <v>23</v>
      </c>
      <c r="H134" cm="1">
        <v>3</v>
      </c>
      <c r="I134" s="4" t="str" cm="1">
        <f t="array" ref="I134">IF(G134="","","E"&amp;TEXT(MATCH(G134,_xlfn.UNIQUE(_xlfn._xlws.FILTER($G$2:$G$500,$G$2:$G$500&lt;&gt;"")),0),"00"))</f>
        <v>E07</v>
      </c>
      <c r="J134" s="18">
        <v>46081</v>
      </c>
      <c r="K134" s="17" t="str">
        <f t="shared" si="4"/>
        <v>OK</v>
      </c>
      <c r="L134" s="20">
        <v>46084</v>
      </c>
      <c r="M134" s="20">
        <v>46128</v>
      </c>
      <c r="N134" t="str">
        <f t="shared" si="5"/>
        <v>OK</v>
      </c>
    </row>
    <row r="135" spans="1:14" ht="43.2">
      <c r="A135" s="11" t="s">
        <v>79</v>
      </c>
      <c r="B135" s="5">
        <v>46099</v>
      </c>
      <c r="C135" s="5">
        <v>46111</v>
      </c>
      <c r="D135" s="4">
        <v>2</v>
      </c>
      <c r="E135" s="5">
        <v>46112</v>
      </c>
      <c r="F135" s="4">
        <v>492.85354614257801</v>
      </c>
      <c r="G135" s="15" t="s">
        <v>107</v>
      </c>
      <c r="H135" cm="1">
        <v>3</v>
      </c>
      <c r="I135" s="4" t="str" cm="1">
        <f t="array" ref="I135">IF(G135="","","E"&amp;TEXT(MATCH(G135,_xlfn.UNIQUE(_xlfn._xlws.FILTER($G$2:$G$500,$G$2:$G$500&lt;&gt;"")),0),"00"))</f>
        <v>E14</v>
      </c>
      <c r="J135" s="18">
        <v>46112</v>
      </c>
      <c r="K135" s="17" t="str">
        <f t="shared" si="4"/>
        <v>OK</v>
      </c>
      <c r="L135" s="20">
        <v>46084</v>
      </c>
      <c r="M135" s="20">
        <v>46128</v>
      </c>
      <c r="N135" t="str">
        <f t="shared" si="5"/>
        <v>OK</v>
      </c>
    </row>
    <row r="136" spans="1:14" ht="43.2">
      <c r="A136" s="12" t="s">
        <v>79</v>
      </c>
      <c r="B136" s="7">
        <v>46099</v>
      </c>
      <c r="C136" s="7">
        <v>46111</v>
      </c>
      <c r="D136" s="6">
        <v>3</v>
      </c>
      <c r="E136" s="7">
        <v>46121</v>
      </c>
      <c r="F136" s="6">
        <v>488.78439331054699</v>
      </c>
      <c r="G136" s="16" t="s">
        <v>130</v>
      </c>
      <c r="H136" cm="1">
        <v>3</v>
      </c>
      <c r="I136" s="4" t="str" cm="1">
        <f t="array" ref="I136">IF(G136="","","E"&amp;TEXT(MATCH(G136,_xlfn.UNIQUE(_xlfn._xlws.FILTER($G$2:$G$500,$G$2:$G$500&lt;&gt;"")),0),"00"))</f>
        <v>E33</v>
      </c>
      <c r="J136" s="18">
        <v>46120</v>
      </c>
      <c r="K136" s="17" t="str">
        <f t="shared" si="4"/>
        <v>OK</v>
      </c>
      <c r="L136" s="20">
        <v>46084</v>
      </c>
      <c r="M136" s="20">
        <v>46128</v>
      </c>
      <c r="N136" t="str">
        <f t="shared" si="5"/>
        <v>OK</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38"/>
  <sheetViews>
    <sheetView tabSelected="1" workbookViewId="0">
      <selection activeCell="I1" sqref="I1"/>
    </sheetView>
  </sheetViews>
  <sheetFormatPr defaultRowHeight="14.4"/>
  <cols>
    <col min="1" max="1" width="45.109375" customWidth="1"/>
    <col min="2" max="2" width="21" customWidth="1"/>
    <col min="3" max="3" width="26" customWidth="1"/>
    <col min="4" max="4" width="13" customWidth="1"/>
    <col min="5" max="5" width="27.109375" customWidth="1"/>
    <col min="6" max="6" width="38.88671875" customWidth="1"/>
    <col min="7" max="7" width="32.21875" customWidth="1"/>
    <col min="8" max="8" width="18.44140625" customWidth="1"/>
    <col min="9" max="9" width="13.5546875" customWidth="1"/>
    <col min="10" max="10" width="21.44140625" customWidth="1"/>
    <col min="11" max="11" width="26.5546875" customWidth="1"/>
    <col min="12" max="12" width="27.33203125" customWidth="1"/>
  </cols>
  <sheetData>
    <row r="1" spans="1:12" ht="43.8" thickBot="1">
      <c r="A1" s="25" t="s">
        <v>86</v>
      </c>
      <c r="B1" s="25" t="s">
        <v>85</v>
      </c>
      <c r="C1" s="25" t="s">
        <v>87</v>
      </c>
      <c r="D1" s="25" t="s">
        <v>138</v>
      </c>
      <c r="E1" s="25" t="s">
        <v>139</v>
      </c>
      <c r="F1" s="25" t="s">
        <v>140</v>
      </c>
      <c r="G1" s="25" t="s">
        <v>141</v>
      </c>
      <c r="H1" s="25" t="s">
        <v>142</v>
      </c>
      <c r="I1" s="25" t="s">
        <v>143</v>
      </c>
      <c r="J1" s="25" t="s">
        <v>144</v>
      </c>
      <c r="K1" s="25" t="s">
        <v>145</v>
      </c>
      <c r="L1" s="25" t="s">
        <v>146</v>
      </c>
    </row>
    <row r="2" spans="1:12" ht="85.2" customHeight="1">
      <c r="A2" s="23" t="s">
        <v>90</v>
      </c>
      <c r="B2" s="23" t="s">
        <v>89</v>
      </c>
      <c r="C2" s="24">
        <v>42199</v>
      </c>
      <c r="D2" s="23" t="s">
        <v>147</v>
      </c>
      <c r="E2" s="24">
        <v>42199</v>
      </c>
      <c r="F2" s="23" t="s">
        <v>148</v>
      </c>
      <c r="G2" s="23" t="s">
        <v>149</v>
      </c>
      <c r="H2" s="23"/>
      <c r="I2" s="24"/>
      <c r="J2" s="23"/>
      <c r="K2" s="23"/>
      <c r="L2" s="23" t="s">
        <v>150</v>
      </c>
    </row>
    <row r="3" spans="1:12" ht="90.3" customHeight="1">
      <c r="A3" s="23" t="s">
        <v>92</v>
      </c>
      <c r="B3" s="23" t="s">
        <v>91</v>
      </c>
      <c r="C3" s="24">
        <v>42205</v>
      </c>
      <c r="D3" s="23" t="s">
        <v>151</v>
      </c>
      <c r="E3" s="24">
        <v>42205</v>
      </c>
      <c r="F3" s="23" t="s">
        <v>152</v>
      </c>
      <c r="G3" s="23" t="s">
        <v>153</v>
      </c>
      <c r="H3" s="23"/>
      <c r="I3" s="24"/>
      <c r="J3" s="23"/>
      <c r="K3" s="23"/>
      <c r="L3" s="23" t="s">
        <v>154</v>
      </c>
    </row>
    <row r="4" spans="1:12" ht="71.7" customHeight="1">
      <c r="A4" s="23" t="s">
        <v>94</v>
      </c>
      <c r="B4" s="23" t="s">
        <v>93</v>
      </c>
      <c r="C4" s="24">
        <v>42321</v>
      </c>
      <c r="D4" s="23" t="s">
        <v>151</v>
      </c>
      <c r="E4" s="24">
        <v>42322</v>
      </c>
      <c r="F4" s="23" t="s">
        <v>155</v>
      </c>
      <c r="G4" s="23" t="s">
        <v>156</v>
      </c>
      <c r="H4" s="23" t="s">
        <v>147</v>
      </c>
      <c r="I4" s="24">
        <v>42326</v>
      </c>
      <c r="J4" s="23" t="s">
        <v>157</v>
      </c>
      <c r="K4" s="23" t="s">
        <v>158</v>
      </c>
      <c r="L4" s="23" t="s">
        <v>159</v>
      </c>
    </row>
    <row r="5" spans="1:12" ht="70.349999999999994" customHeight="1">
      <c r="A5" s="23" t="s">
        <v>96</v>
      </c>
      <c r="B5" s="23" t="s">
        <v>95</v>
      </c>
      <c r="C5" s="24">
        <v>42332</v>
      </c>
      <c r="D5" s="23" t="s">
        <v>147</v>
      </c>
      <c r="E5" s="24">
        <v>42332</v>
      </c>
      <c r="F5" s="23" t="s">
        <v>160</v>
      </c>
      <c r="G5" s="23" t="s">
        <v>161</v>
      </c>
      <c r="H5" s="23"/>
      <c r="I5" s="24"/>
      <c r="J5" s="23"/>
      <c r="K5" s="23"/>
      <c r="L5" s="23" t="s">
        <v>162</v>
      </c>
    </row>
    <row r="6" spans="1:12" ht="89.85" customHeight="1">
      <c r="A6" s="23" t="s">
        <v>16</v>
      </c>
      <c r="B6" s="23" t="s">
        <v>17</v>
      </c>
      <c r="C6" s="24">
        <v>44337</v>
      </c>
      <c r="D6" s="23" t="s">
        <v>147</v>
      </c>
      <c r="E6" s="24">
        <v>44337</v>
      </c>
      <c r="F6" s="23" t="s">
        <v>163</v>
      </c>
      <c r="G6" s="23" t="s">
        <v>164</v>
      </c>
      <c r="H6" s="23" t="s">
        <v>165</v>
      </c>
      <c r="I6" s="24">
        <v>44372</v>
      </c>
      <c r="J6" s="23" t="s">
        <v>166</v>
      </c>
      <c r="K6" s="23" t="s">
        <v>167</v>
      </c>
      <c r="L6" s="23" t="s">
        <v>295</v>
      </c>
    </row>
    <row r="7" spans="1:12" ht="172.8">
      <c r="A7" s="23" t="s">
        <v>19</v>
      </c>
      <c r="B7" s="23" t="s">
        <v>20</v>
      </c>
      <c r="C7" s="24">
        <v>45727</v>
      </c>
      <c r="D7" s="23" t="s">
        <v>147</v>
      </c>
      <c r="E7" s="24">
        <v>45727</v>
      </c>
      <c r="F7" s="23" t="s">
        <v>168</v>
      </c>
      <c r="G7" s="23" t="s">
        <v>169</v>
      </c>
      <c r="H7" s="23" t="s">
        <v>147</v>
      </c>
      <c r="I7" s="24">
        <v>45735</v>
      </c>
      <c r="J7" s="23" t="s">
        <v>170</v>
      </c>
      <c r="K7" s="23" t="s">
        <v>171</v>
      </c>
      <c r="L7" s="23" t="s">
        <v>172</v>
      </c>
    </row>
    <row r="8" spans="1:12" ht="92.1" customHeight="1">
      <c r="A8" s="23" t="s">
        <v>22</v>
      </c>
      <c r="B8" s="23" t="s">
        <v>23</v>
      </c>
      <c r="C8" s="24">
        <v>46081</v>
      </c>
      <c r="D8" s="23" t="s">
        <v>147</v>
      </c>
      <c r="E8" s="24">
        <v>46081</v>
      </c>
      <c r="F8" s="23" t="s">
        <v>173</v>
      </c>
      <c r="G8" s="23" t="s">
        <v>174</v>
      </c>
      <c r="H8" s="23" t="s">
        <v>147</v>
      </c>
      <c r="I8" s="24">
        <v>46084</v>
      </c>
      <c r="J8" s="23" t="s">
        <v>175</v>
      </c>
      <c r="K8" s="23" t="s">
        <v>176</v>
      </c>
      <c r="L8" s="23" t="s">
        <v>177</v>
      </c>
    </row>
    <row r="9" spans="1:12" ht="67.2" customHeight="1">
      <c r="A9" s="23" t="s">
        <v>98</v>
      </c>
      <c r="B9" s="23" t="s">
        <v>97</v>
      </c>
      <c r="C9" s="24">
        <v>42893</v>
      </c>
      <c r="D9" s="23" t="s">
        <v>147</v>
      </c>
      <c r="E9" s="24">
        <v>42893</v>
      </c>
      <c r="F9" s="23" t="s">
        <v>178</v>
      </c>
      <c r="G9" s="23" t="s">
        <v>179</v>
      </c>
      <c r="H9" s="23"/>
      <c r="I9" s="24"/>
      <c r="J9" s="23"/>
      <c r="K9" s="23"/>
      <c r="L9" s="23" t="s">
        <v>180</v>
      </c>
    </row>
    <row r="10" spans="1:12" ht="84.9" customHeight="1">
      <c r="A10" s="23" t="s">
        <v>100</v>
      </c>
      <c r="B10" s="23" t="s">
        <v>99</v>
      </c>
      <c r="C10" s="24">
        <v>42891</v>
      </c>
      <c r="D10" s="23" t="s">
        <v>147</v>
      </c>
      <c r="E10" s="24">
        <v>42891</v>
      </c>
      <c r="F10" s="23" t="s">
        <v>181</v>
      </c>
      <c r="G10" s="23" t="s">
        <v>182</v>
      </c>
      <c r="H10" s="23"/>
      <c r="I10" s="24"/>
      <c r="J10" s="23"/>
      <c r="K10" s="23"/>
      <c r="L10" s="23" t="s">
        <v>183</v>
      </c>
    </row>
    <row r="11" spans="1:12" ht="60.75" customHeight="1">
      <c r="A11" s="23" t="s">
        <v>102</v>
      </c>
      <c r="B11" s="23" t="s">
        <v>101</v>
      </c>
      <c r="C11" s="24">
        <v>42879</v>
      </c>
      <c r="D11" s="23" t="s">
        <v>147</v>
      </c>
      <c r="E11" s="24">
        <v>42880</v>
      </c>
      <c r="F11" s="23" t="s">
        <v>184</v>
      </c>
      <c r="G11" s="23" t="s">
        <v>185</v>
      </c>
      <c r="H11" s="23" t="s">
        <v>186</v>
      </c>
      <c r="I11" s="24">
        <v>42885</v>
      </c>
      <c r="J11" s="23" t="s">
        <v>187</v>
      </c>
      <c r="K11" s="23" t="s">
        <v>188</v>
      </c>
      <c r="L11" s="23" t="s">
        <v>189</v>
      </c>
    </row>
    <row r="12" spans="1:12" ht="56.85" customHeight="1">
      <c r="A12" s="23" t="s">
        <v>104</v>
      </c>
      <c r="B12" s="23" t="s">
        <v>103</v>
      </c>
      <c r="C12" s="24">
        <v>43722</v>
      </c>
      <c r="D12" s="23" t="s">
        <v>147</v>
      </c>
      <c r="E12" s="24">
        <v>43722</v>
      </c>
      <c r="F12" s="23" t="s">
        <v>190</v>
      </c>
      <c r="G12" s="23" t="s">
        <v>191</v>
      </c>
      <c r="H12" s="23"/>
      <c r="I12" s="24"/>
      <c r="J12" s="23"/>
      <c r="K12" s="23"/>
      <c r="L12" s="23" t="s">
        <v>192</v>
      </c>
    </row>
    <row r="13" spans="1:12" ht="97.95" customHeight="1">
      <c r="A13" s="23" t="s">
        <v>106</v>
      </c>
      <c r="B13" s="23" t="s">
        <v>105</v>
      </c>
      <c r="C13" s="24">
        <v>43747</v>
      </c>
      <c r="D13" s="23" t="s">
        <v>147</v>
      </c>
      <c r="E13" s="24">
        <v>43747</v>
      </c>
      <c r="F13" s="23" t="s">
        <v>193</v>
      </c>
      <c r="G13" s="23" t="s">
        <v>194</v>
      </c>
      <c r="H13" s="23"/>
      <c r="I13" s="24"/>
      <c r="J13" s="23"/>
      <c r="K13" s="23"/>
      <c r="L13" s="23" t="s">
        <v>195</v>
      </c>
    </row>
    <row r="14" spans="1:12" ht="79.5" customHeight="1">
      <c r="A14" s="23" t="s">
        <v>28</v>
      </c>
      <c r="B14" s="23" t="s">
        <v>29</v>
      </c>
      <c r="C14" s="24">
        <v>45068</v>
      </c>
      <c r="D14" s="23" t="s">
        <v>147</v>
      </c>
      <c r="E14" s="24">
        <v>45068</v>
      </c>
      <c r="F14" s="23" t="s">
        <v>196</v>
      </c>
      <c r="G14" s="23" t="s">
        <v>197</v>
      </c>
      <c r="H14" s="23" t="s">
        <v>147</v>
      </c>
      <c r="I14" s="24">
        <v>45078</v>
      </c>
      <c r="J14" s="23" t="s">
        <v>198</v>
      </c>
      <c r="K14" s="23" t="s">
        <v>199</v>
      </c>
      <c r="L14" s="23" t="s">
        <v>200</v>
      </c>
    </row>
    <row r="15" spans="1:12" ht="51.45" customHeight="1">
      <c r="A15" s="23" t="s">
        <v>108</v>
      </c>
      <c r="B15" s="23" t="s">
        <v>107</v>
      </c>
      <c r="C15" s="24">
        <v>46112</v>
      </c>
      <c r="D15" s="23" t="s">
        <v>147</v>
      </c>
      <c r="E15" s="24">
        <v>46112</v>
      </c>
      <c r="F15" s="23" t="s">
        <v>201</v>
      </c>
      <c r="G15" s="23" t="s">
        <v>202</v>
      </c>
      <c r="H15" s="23"/>
      <c r="I15" s="24"/>
      <c r="J15" s="23"/>
      <c r="K15" s="23"/>
      <c r="L15" s="23" t="s">
        <v>203</v>
      </c>
    </row>
    <row r="16" spans="1:12" ht="43.8" customHeight="1">
      <c r="A16" s="23" t="s">
        <v>110</v>
      </c>
      <c r="B16" s="23" t="s">
        <v>109</v>
      </c>
      <c r="C16" s="24">
        <v>44300</v>
      </c>
      <c r="D16" s="23" t="s">
        <v>204</v>
      </c>
      <c r="E16" s="24">
        <v>44300</v>
      </c>
      <c r="F16" s="23" t="s">
        <v>205</v>
      </c>
      <c r="G16" s="23" t="s">
        <v>206</v>
      </c>
      <c r="H16" s="23"/>
      <c r="I16" s="24"/>
      <c r="J16" s="23"/>
      <c r="K16" s="23"/>
      <c r="L16" s="23" t="s">
        <v>207</v>
      </c>
    </row>
    <row r="17" spans="1:12" ht="53.1" customHeight="1">
      <c r="A17" s="23" t="s">
        <v>34</v>
      </c>
      <c r="B17" s="23" t="s">
        <v>35</v>
      </c>
      <c r="C17" s="24">
        <v>45206</v>
      </c>
      <c r="D17" s="23" t="s">
        <v>147</v>
      </c>
      <c r="E17" s="24">
        <v>45206</v>
      </c>
      <c r="F17" s="23" t="s">
        <v>208</v>
      </c>
      <c r="G17" s="23" t="s">
        <v>209</v>
      </c>
      <c r="H17" s="23" t="s">
        <v>165</v>
      </c>
      <c r="I17" s="24">
        <v>45218</v>
      </c>
      <c r="J17" s="23" t="s">
        <v>210</v>
      </c>
      <c r="K17" s="23" t="s">
        <v>211</v>
      </c>
      <c r="L17" s="23" t="s">
        <v>212</v>
      </c>
    </row>
    <row r="18" spans="1:12" ht="60.3" customHeight="1">
      <c r="A18" s="23" t="s">
        <v>112</v>
      </c>
      <c r="B18" s="23" t="s">
        <v>38</v>
      </c>
      <c r="C18" s="24">
        <v>45821</v>
      </c>
      <c r="D18" s="23" t="s">
        <v>226</v>
      </c>
      <c r="E18" s="24">
        <v>45821</v>
      </c>
      <c r="F18" s="23" t="s">
        <v>227</v>
      </c>
      <c r="G18" s="23" t="s">
        <v>228</v>
      </c>
      <c r="H18" s="23" t="s">
        <v>147</v>
      </c>
      <c r="I18" s="24">
        <v>45832</v>
      </c>
      <c r="J18" s="23" t="s">
        <v>229</v>
      </c>
      <c r="K18" s="23" t="s">
        <v>230</v>
      </c>
      <c r="L18" s="23" t="s">
        <v>231</v>
      </c>
    </row>
    <row r="19" spans="1:12" ht="92.85" customHeight="1">
      <c r="A19" s="23" t="s">
        <v>114</v>
      </c>
      <c r="B19" s="23" t="s">
        <v>111</v>
      </c>
      <c r="C19" s="24">
        <v>43838</v>
      </c>
      <c r="D19" s="23" t="s">
        <v>147</v>
      </c>
      <c r="E19" s="24">
        <v>43839</v>
      </c>
      <c r="F19" s="23" t="s">
        <v>213</v>
      </c>
      <c r="G19" s="23" t="s">
        <v>214</v>
      </c>
      <c r="H19" s="23" t="s">
        <v>147</v>
      </c>
      <c r="I19" s="24">
        <v>43841</v>
      </c>
      <c r="J19" s="23" t="s">
        <v>215</v>
      </c>
      <c r="K19" s="23" t="s">
        <v>216</v>
      </c>
      <c r="L19" s="23" t="s">
        <v>217</v>
      </c>
    </row>
    <row r="20" spans="1:12" ht="59.85" customHeight="1">
      <c r="A20" s="23" t="s">
        <v>116</v>
      </c>
      <c r="B20" s="23" t="s">
        <v>113</v>
      </c>
      <c r="C20" s="24">
        <v>43833</v>
      </c>
      <c r="D20" s="23" t="s">
        <v>151</v>
      </c>
      <c r="E20" s="24">
        <v>43833</v>
      </c>
      <c r="F20" s="23" t="s">
        <v>218</v>
      </c>
      <c r="G20" s="23" t="s">
        <v>219</v>
      </c>
      <c r="H20" s="23"/>
      <c r="I20" s="24"/>
      <c r="J20" s="23"/>
      <c r="K20" s="23"/>
      <c r="L20" s="23" t="s">
        <v>220</v>
      </c>
    </row>
    <row r="21" spans="1:12" ht="63" customHeight="1">
      <c r="A21" s="23" t="s">
        <v>37</v>
      </c>
      <c r="B21" s="23" t="s">
        <v>115</v>
      </c>
      <c r="C21" s="24">
        <v>44326</v>
      </c>
      <c r="D21" s="23" t="s">
        <v>165</v>
      </c>
      <c r="E21" s="24">
        <v>44338</v>
      </c>
      <c r="F21" s="23" t="s">
        <v>221</v>
      </c>
      <c r="G21" s="23" t="s">
        <v>222</v>
      </c>
      <c r="H21" s="23" t="s">
        <v>147</v>
      </c>
      <c r="I21" s="24">
        <v>44326</v>
      </c>
      <c r="J21" s="23" t="s">
        <v>223</v>
      </c>
      <c r="K21" s="23" t="s">
        <v>224</v>
      </c>
      <c r="L21" s="23" t="s">
        <v>225</v>
      </c>
    </row>
    <row r="22" spans="1:12" ht="44.85" customHeight="1">
      <c r="A22" s="23" t="s">
        <v>47</v>
      </c>
      <c r="B22" s="23" t="s">
        <v>48</v>
      </c>
      <c r="C22" s="24">
        <v>42717</v>
      </c>
      <c r="D22" s="23" t="s">
        <v>147</v>
      </c>
      <c r="E22" s="24">
        <v>42717</v>
      </c>
      <c r="F22" s="23" t="s">
        <v>232</v>
      </c>
      <c r="G22" s="23" t="s">
        <v>233</v>
      </c>
      <c r="H22" s="23" t="s">
        <v>147</v>
      </c>
      <c r="I22" s="24">
        <v>42734</v>
      </c>
      <c r="J22" s="23" t="s">
        <v>234</v>
      </c>
      <c r="K22" s="23" t="s">
        <v>235</v>
      </c>
      <c r="L22" s="23" t="s">
        <v>236</v>
      </c>
    </row>
    <row r="23" spans="1:12" ht="86.7" customHeight="1">
      <c r="A23" s="23" t="s">
        <v>118</v>
      </c>
      <c r="B23" s="23" t="s">
        <v>117</v>
      </c>
      <c r="C23" s="24">
        <v>45707</v>
      </c>
      <c r="D23" s="23" t="s">
        <v>147</v>
      </c>
      <c r="E23" s="24">
        <v>45707</v>
      </c>
      <c r="F23" s="23" t="s">
        <v>237</v>
      </c>
      <c r="G23" s="23" t="s">
        <v>238</v>
      </c>
      <c r="H23" s="23"/>
      <c r="I23" s="24"/>
      <c r="J23" s="23"/>
      <c r="K23" s="23"/>
      <c r="L23" s="23" t="s">
        <v>239</v>
      </c>
    </row>
    <row r="24" spans="1:12" ht="70.349999999999994" customHeight="1">
      <c r="A24" s="23" t="s">
        <v>120</v>
      </c>
      <c r="B24" s="23" t="s">
        <v>119</v>
      </c>
      <c r="C24" s="24">
        <v>42017</v>
      </c>
      <c r="D24" s="23" t="s">
        <v>240</v>
      </c>
      <c r="E24" s="24">
        <v>42017</v>
      </c>
      <c r="F24" s="23" t="s">
        <v>241</v>
      </c>
      <c r="G24" s="23" t="s">
        <v>242</v>
      </c>
      <c r="H24" s="23"/>
      <c r="I24" s="24"/>
      <c r="J24" s="23"/>
      <c r="K24" s="23"/>
      <c r="L24" s="23" t="s">
        <v>243</v>
      </c>
    </row>
    <row r="25" spans="1:12" ht="67.5" customHeight="1">
      <c r="A25" s="23" t="s">
        <v>122</v>
      </c>
      <c r="B25" s="23" t="s">
        <v>121</v>
      </c>
      <c r="C25" s="24">
        <v>42019</v>
      </c>
      <c r="D25" s="23" t="s">
        <v>147</v>
      </c>
      <c r="E25" s="24">
        <v>42019</v>
      </c>
      <c r="F25" s="23" t="s">
        <v>244</v>
      </c>
      <c r="G25" s="23" t="s">
        <v>245</v>
      </c>
      <c r="H25" s="23"/>
      <c r="I25" s="24"/>
      <c r="J25" s="23"/>
      <c r="K25" s="23"/>
      <c r="L25" s="23" t="s">
        <v>246</v>
      </c>
    </row>
    <row r="26" spans="1:12" ht="65.7" customHeight="1">
      <c r="A26" s="23" t="s">
        <v>123</v>
      </c>
      <c r="B26" s="23" t="s">
        <v>247</v>
      </c>
      <c r="C26" s="24">
        <v>43510</v>
      </c>
      <c r="D26" s="23" t="s">
        <v>147</v>
      </c>
      <c r="E26" s="24">
        <v>43510</v>
      </c>
      <c r="F26" s="23" t="s">
        <v>248</v>
      </c>
      <c r="G26" s="23" t="s">
        <v>249</v>
      </c>
      <c r="H26" s="23" t="s">
        <v>147</v>
      </c>
      <c r="I26" s="24">
        <v>43529</v>
      </c>
      <c r="J26" s="23" t="s">
        <v>250</v>
      </c>
      <c r="K26" s="23" t="s">
        <v>251</v>
      </c>
      <c r="L26" s="23" t="s">
        <v>296</v>
      </c>
    </row>
    <row r="27" spans="1:12" ht="48" customHeight="1">
      <c r="A27" s="23" t="s">
        <v>58</v>
      </c>
      <c r="B27" s="23" t="s">
        <v>293</v>
      </c>
      <c r="C27" s="24">
        <v>43543</v>
      </c>
      <c r="D27" s="23" t="s">
        <v>147</v>
      </c>
      <c r="E27" s="24">
        <v>43543</v>
      </c>
      <c r="F27" s="23" t="s">
        <v>300</v>
      </c>
      <c r="G27" s="23" t="s">
        <v>301</v>
      </c>
      <c r="H27" s="23"/>
      <c r="I27" s="24"/>
      <c r="J27" s="23"/>
      <c r="K27" s="23"/>
      <c r="L27" s="23" t="s">
        <v>302</v>
      </c>
    </row>
    <row r="28" spans="1:12" ht="48.75" customHeight="1">
      <c r="A28" s="23" t="s">
        <v>63</v>
      </c>
      <c r="B28" s="23" t="s">
        <v>59</v>
      </c>
      <c r="C28" s="24">
        <v>42375</v>
      </c>
      <c r="D28" s="23" t="s">
        <v>252</v>
      </c>
      <c r="E28" s="24">
        <v>42375</v>
      </c>
      <c r="F28" s="23" t="s">
        <v>253</v>
      </c>
      <c r="G28" s="23" t="s">
        <v>254</v>
      </c>
      <c r="H28" s="23"/>
      <c r="I28" s="24"/>
      <c r="J28" s="23"/>
      <c r="K28" s="23"/>
      <c r="L28" s="23" t="s">
        <v>297</v>
      </c>
    </row>
    <row r="29" spans="1:12" ht="67.95" customHeight="1">
      <c r="A29" s="23" t="s">
        <v>67</v>
      </c>
      <c r="B29" s="23" t="s">
        <v>64</v>
      </c>
      <c r="C29" s="24">
        <v>44616</v>
      </c>
      <c r="D29" s="23" t="s">
        <v>255</v>
      </c>
      <c r="E29" s="24">
        <v>44616</v>
      </c>
      <c r="F29" s="23" t="s">
        <v>256</v>
      </c>
      <c r="G29" s="23" t="s">
        <v>257</v>
      </c>
      <c r="H29" s="23"/>
      <c r="I29" s="24"/>
      <c r="J29" s="23"/>
      <c r="K29" s="23"/>
      <c r="L29" s="23" t="s">
        <v>258</v>
      </c>
    </row>
    <row r="30" spans="1:12" ht="75.599999999999994" customHeight="1">
      <c r="A30" s="23" t="s">
        <v>125</v>
      </c>
      <c r="B30" s="23" t="s">
        <v>68</v>
      </c>
      <c r="C30" s="24">
        <v>41702</v>
      </c>
      <c r="D30" s="23" t="s">
        <v>147</v>
      </c>
      <c r="E30" s="24">
        <v>41702</v>
      </c>
      <c r="F30" s="23" t="s">
        <v>259</v>
      </c>
      <c r="G30" s="23" t="s">
        <v>260</v>
      </c>
      <c r="H30" s="23" t="s">
        <v>147</v>
      </c>
      <c r="I30" s="24">
        <v>41716</v>
      </c>
      <c r="J30" s="23" t="s">
        <v>261</v>
      </c>
      <c r="K30" s="23" t="s">
        <v>262</v>
      </c>
      <c r="L30" s="23" t="s">
        <v>263</v>
      </c>
    </row>
    <row r="31" spans="1:12" ht="51.9" customHeight="1">
      <c r="A31" s="23" t="s">
        <v>127</v>
      </c>
      <c r="B31" s="23" t="s">
        <v>124</v>
      </c>
      <c r="C31" s="24">
        <v>41886</v>
      </c>
      <c r="D31" s="23" t="s">
        <v>151</v>
      </c>
      <c r="E31" s="24">
        <v>41885</v>
      </c>
      <c r="F31" s="23" t="s">
        <v>264</v>
      </c>
      <c r="G31" s="23" t="s">
        <v>265</v>
      </c>
      <c r="H31" s="23"/>
      <c r="I31" s="24"/>
      <c r="J31" s="23"/>
      <c r="K31" s="23"/>
      <c r="L31" s="23" t="s">
        <v>266</v>
      </c>
    </row>
    <row r="32" spans="1:12" ht="84.45" customHeight="1">
      <c r="A32" s="23" t="s">
        <v>129</v>
      </c>
      <c r="B32" s="23" t="s">
        <v>126</v>
      </c>
      <c r="C32" s="24">
        <v>41884</v>
      </c>
      <c r="D32" s="23" t="s">
        <v>147</v>
      </c>
      <c r="E32" s="24">
        <v>41884</v>
      </c>
      <c r="F32" s="23" t="s">
        <v>267</v>
      </c>
      <c r="G32" s="23" t="s">
        <v>268</v>
      </c>
      <c r="H32" s="23"/>
      <c r="I32" s="24"/>
      <c r="J32" s="23"/>
      <c r="K32" s="23"/>
      <c r="L32" s="23" t="s">
        <v>269</v>
      </c>
    </row>
    <row r="33" spans="1:12" ht="78.75" customHeight="1">
      <c r="A33" s="23" t="s">
        <v>131</v>
      </c>
      <c r="B33" s="23" t="s">
        <v>128</v>
      </c>
      <c r="C33" s="24">
        <v>41859</v>
      </c>
      <c r="D33" s="23" t="s">
        <v>147</v>
      </c>
      <c r="E33" s="24">
        <v>41859</v>
      </c>
      <c r="F33" s="23" t="s">
        <v>270</v>
      </c>
      <c r="G33" s="23" t="s">
        <v>271</v>
      </c>
      <c r="H33" s="23"/>
      <c r="I33" s="24"/>
      <c r="J33" s="23"/>
      <c r="K33" s="23"/>
      <c r="L33" s="23" t="s">
        <v>272</v>
      </c>
    </row>
    <row r="34" spans="1:12" ht="67.2" customHeight="1">
      <c r="A34" s="23" t="s">
        <v>133</v>
      </c>
      <c r="B34" s="23" t="s">
        <v>130</v>
      </c>
      <c r="C34" s="24">
        <v>46120</v>
      </c>
      <c r="D34" s="23" t="s">
        <v>147</v>
      </c>
      <c r="E34" s="24">
        <v>46120</v>
      </c>
      <c r="F34" s="23" t="s">
        <v>273</v>
      </c>
      <c r="G34" s="23" t="s">
        <v>274</v>
      </c>
      <c r="H34" s="23"/>
      <c r="I34" s="24"/>
      <c r="J34" s="23"/>
      <c r="K34" s="23"/>
      <c r="L34" s="23" t="s">
        <v>275</v>
      </c>
    </row>
    <row r="35" spans="1:12" ht="48.3" customHeight="1">
      <c r="A35" s="23" t="s">
        <v>135</v>
      </c>
      <c r="B35" s="23" t="s">
        <v>132</v>
      </c>
      <c r="C35" s="24">
        <v>46125</v>
      </c>
      <c r="D35" s="23" t="s">
        <v>147</v>
      </c>
      <c r="E35" s="24">
        <v>46125</v>
      </c>
      <c r="F35" s="23" t="s">
        <v>276</v>
      </c>
      <c r="G35" s="23" t="s">
        <v>277</v>
      </c>
      <c r="H35" s="23" t="s">
        <v>147</v>
      </c>
      <c r="I35" s="24">
        <v>46126</v>
      </c>
      <c r="J35" s="23" t="s">
        <v>278</v>
      </c>
      <c r="K35" s="23" t="s">
        <v>279</v>
      </c>
      <c r="L35" s="23" t="s">
        <v>298</v>
      </c>
    </row>
    <row r="36" spans="1:12" ht="49.2" customHeight="1">
      <c r="A36" s="23" t="s">
        <v>137</v>
      </c>
      <c r="B36" s="23" t="s">
        <v>134</v>
      </c>
      <c r="C36" s="24">
        <v>42955</v>
      </c>
      <c r="D36" s="23" t="s">
        <v>147</v>
      </c>
      <c r="E36" s="24">
        <v>42956</v>
      </c>
      <c r="F36" s="23" t="s">
        <v>280</v>
      </c>
      <c r="G36" s="23" t="s">
        <v>281</v>
      </c>
      <c r="H36" s="23" t="s">
        <v>147</v>
      </c>
      <c r="I36" s="24">
        <v>42957</v>
      </c>
      <c r="J36" s="23" t="s">
        <v>282</v>
      </c>
      <c r="K36" s="23" t="s">
        <v>283</v>
      </c>
      <c r="L36" s="23" t="s">
        <v>299</v>
      </c>
    </row>
    <row r="37" spans="1:12" ht="67.2" customHeight="1">
      <c r="A37" s="23" t="s">
        <v>76</v>
      </c>
      <c r="B37" s="23" t="s">
        <v>136</v>
      </c>
      <c r="C37" s="24">
        <v>42920</v>
      </c>
      <c r="D37" s="23" t="s">
        <v>147</v>
      </c>
      <c r="E37" s="24">
        <v>42920</v>
      </c>
      <c r="F37" s="23" t="s">
        <v>284</v>
      </c>
      <c r="G37" s="23" t="s">
        <v>285</v>
      </c>
      <c r="H37" s="23"/>
      <c r="I37" s="24"/>
      <c r="J37" s="23"/>
      <c r="K37" s="23"/>
      <c r="L37" s="23" t="s">
        <v>286</v>
      </c>
    </row>
    <row r="38" spans="1:12" ht="72">
      <c r="A38" s="22" t="s">
        <v>294</v>
      </c>
      <c r="B38" s="27" t="s">
        <v>77</v>
      </c>
      <c r="C38" s="26">
        <v>44775</v>
      </c>
      <c r="D38" s="22" t="s">
        <v>147</v>
      </c>
      <c r="E38" s="26">
        <v>44775</v>
      </c>
      <c r="F38" s="27" t="s">
        <v>287</v>
      </c>
      <c r="G38" s="22" t="s">
        <v>288</v>
      </c>
      <c r="H38" s="22"/>
      <c r="I38" s="22"/>
      <c r="J38" s="22"/>
      <c r="K38" s="22"/>
      <c r="L38" s="27" t="s">
        <v>289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45 events</vt:lpstr>
      <vt:lpstr>135 Raw Peak Audit</vt:lpstr>
      <vt:lpstr>Sources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 Cresswell</dc:creator>
  <cp:lastModifiedBy>Chris Cresswell</cp:lastModifiedBy>
  <dcterms:created xsi:type="dcterms:W3CDTF">2026-10-09T13:19:25Z</dcterms:created>
  <dcterms:modified xsi:type="dcterms:W3CDTF">2026-10-10T14:42:10Z</dcterms:modified>
</cp:coreProperties>
</file>