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17c87fde5f3bec7/Documents/Thesis/"/>
    </mc:Choice>
  </mc:AlternateContent>
  <xr:revisionPtr revIDLastSave="106" documentId="8_{889BA7CC-D59D-41A5-A3CC-2B0815D3FE55}" xr6:coauthVersionLast="47" xr6:coauthVersionMax="47" xr10:uidLastSave="{5BAA92F5-7889-41A6-8ADF-95C6EC69558B}"/>
  <bookViews>
    <workbookView xWindow="-108" yWindow="-108" windowWidth="23256" windowHeight="12456" xr2:uid="{8F4A8F9F-E116-4246-8F9D-D735BD13410E}"/>
  </bookViews>
  <sheets>
    <sheet name="45 events" sheetId="1" r:id="rId1"/>
    <sheet name="135 Raw Peak Audit" sheetId="2" r:id="rId2"/>
    <sheet name="Sourc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3" i="1" l="1" a="1"/>
  <c r="O3" i="1" s="1"/>
  <c r="O4" i="1" a="1"/>
  <c r="O4" i="1" s="1"/>
  <c r="O5" i="1" a="1"/>
  <c r="O5" i="1" s="1"/>
  <c r="O6" i="1" a="1"/>
  <c r="O6" i="1" s="1"/>
  <c r="O7" i="1" a="1"/>
  <c r="O7" i="1" s="1"/>
  <c r="O8" i="1" a="1"/>
  <c r="O8" i="1" s="1"/>
  <c r="O9" i="1" a="1"/>
  <c r="O9" i="1" s="1"/>
  <c r="O10" i="1" a="1"/>
  <c r="O10" i="1" s="1"/>
  <c r="O11" i="1" a="1"/>
  <c r="O11" i="1" s="1"/>
  <c r="O12" i="1" a="1"/>
  <c r="O12" i="1" s="1"/>
  <c r="O13" i="1" a="1"/>
  <c r="O13" i="1" s="1"/>
  <c r="O14" i="1" a="1"/>
  <c r="O14" i="1" s="1"/>
  <c r="O15" i="1" a="1"/>
  <c r="O15" i="1" s="1"/>
  <c r="O16" i="1" a="1"/>
  <c r="O16" i="1" s="1"/>
  <c r="O17" i="1" a="1"/>
  <c r="O17" i="1" s="1"/>
  <c r="O18" i="1" a="1"/>
  <c r="O18" i="1" s="1"/>
  <c r="O19" i="1" a="1"/>
  <c r="O19" i="1" s="1"/>
  <c r="O20" i="1" a="1"/>
  <c r="O20" i="1" s="1"/>
  <c r="O21" i="1" a="1"/>
  <c r="O21" i="1" s="1"/>
  <c r="O22" i="1" a="1"/>
  <c r="O22" i="1" s="1"/>
  <c r="O23" i="1" a="1"/>
  <c r="O23" i="1" s="1"/>
  <c r="O24" i="1" a="1"/>
  <c r="O24" i="1" s="1"/>
  <c r="O25" i="1" a="1"/>
  <c r="O25" i="1" s="1"/>
  <c r="O26" i="1" a="1"/>
  <c r="O26" i="1" s="1"/>
  <c r="O27" i="1" a="1"/>
  <c r="O27" i="1" s="1"/>
  <c r="O28" i="1" a="1"/>
  <c r="O28" i="1" s="1"/>
  <c r="O29" i="1" a="1"/>
  <c r="O29" i="1" s="1"/>
  <c r="O30" i="1" a="1"/>
  <c r="O30" i="1" s="1"/>
  <c r="O31" i="1" a="1"/>
  <c r="O31" i="1" s="1"/>
  <c r="O32" i="1" a="1"/>
  <c r="O32" i="1" s="1"/>
  <c r="O33" i="1" a="1"/>
  <c r="O33" i="1" s="1"/>
  <c r="O34" i="1" a="1"/>
  <c r="O34" i="1" s="1"/>
  <c r="O35" i="1" a="1"/>
  <c r="O35" i="1" s="1"/>
  <c r="O36" i="1" a="1"/>
  <c r="O36" i="1" s="1"/>
  <c r="O37" i="1" a="1"/>
  <c r="O37" i="1" s="1"/>
  <c r="O38" i="1" a="1"/>
  <c r="O38" i="1" s="1"/>
  <c r="O39" i="1" a="1"/>
  <c r="O39" i="1" s="1"/>
  <c r="O40" i="1" a="1"/>
  <c r="O40" i="1" s="1"/>
  <c r="O41" i="1" a="1"/>
  <c r="O41" i="1" s="1"/>
  <c r="O42" i="1" a="1"/>
  <c r="O42" i="1" s="1"/>
  <c r="O43" i="1" a="1"/>
  <c r="O43" i="1" s="1"/>
  <c r="O44" i="1" a="1"/>
  <c r="O44" i="1" s="1"/>
  <c r="O45" i="1" a="1"/>
  <c r="O45" i="1" s="1"/>
  <c r="O46" i="1" a="1"/>
  <c r="O46" i="1" s="1"/>
  <c r="O2" i="1" a="1"/>
  <c r="O2" i="1" s="1"/>
  <c r="N9" i="1"/>
  <c r="J3" i="2" a="1"/>
  <c r="J3" i="2" s="1"/>
  <c r="J4" i="2" a="1"/>
  <c r="J4" i="2" s="1"/>
  <c r="J5" i="2" a="1"/>
  <c r="J5" i="2" s="1"/>
  <c r="J6" i="2" a="1"/>
  <c r="J6" i="2" s="1"/>
  <c r="J7" i="2" a="1"/>
  <c r="J7" i="2" s="1"/>
  <c r="J8" i="2" a="1"/>
  <c r="J8" i="2" s="1"/>
  <c r="J9" i="2" a="1"/>
  <c r="J9" i="2" s="1"/>
  <c r="J10" i="2" a="1"/>
  <c r="J10" i="2" s="1"/>
  <c r="J11" i="2" a="1"/>
  <c r="J11" i="2" s="1"/>
  <c r="J12" i="2" a="1"/>
  <c r="J12" i="2" s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J18" i="2" a="1"/>
  <c r="J18" i="2" s="1"/>
  <c r="J19" i="2" a="1"/>
  <c r="J19" i="2" s="1"/>
  <c r="J20" i="2" a="1"/>
  <c r="J20" i="2"/>
  <c r="J21" i="2" a="1"/>
  <c r="J21" i="2" s="1"/>
  <c r="J22" i="2" a="1"/>
  <c r="J22" i="2" s="1"/>
  <c r="J23" i="2" a="1"/>
  <c r="J23" i="2" s="1"/>
  <c r="J24" i="2" a="1"/>
  <c r="J24" i="2" s="1"/>
  <c r="J25" i="2" a="1"/>
  <c r="J25" i="2" s="1"/>
  <c r="J26" i="2" a="1"/>
  <c r="J26" i="2" s="1"/>
  <c r="J27" i="2" a="1"/>
  <c r="J27" i="2" s="1"/>
  <c r="J28" i="2" a="1"/>
  <c r="J28" i="2" s="1"/>
  <c r="J29" i="2" a="1"/>
  <c r="J29" i="2" s="1"/>
  <c r="J30" i="2" a="1"/>
  <c r="J30" i="2" s="1"/>
  <c r="J31" i="2" a="1"/>
  <c r="J31" i="2" s="1"/>
  <c r="J32" i="2" a="1"/>
  <c r="J32" i="2" s="1"/>
  <c r="J33" i="2" a="1"/>
  <c r="J33" i="2" s="1"/>
  <c r="J34" i="2" a="1"/>
  <c r="J34" i="2" s="1"/>
  <c r="J35" i="2" a="1"/>
  <c r="J35" i="2" s="1"/>
  <c r="J36" i="2" a="1"/>
  <c r="J36" i="2"/>
  <c r="J37" i="2" a="1"/>
  <c r="J37" i="2" s="1"/>
  <c r="J38" i="2" a="1"/>
  <c r="J38" i="2" s="1"/>
  <c r="J39" i="2" a="1"/>
  <c r="J39" i="2" s="1"/>
  <c r="J40" i="2" a="1"/>
  <c r="J40" i="2" s="1"/>
  <c r="J41" i="2" a="1"/>
  <c r="J41" i="2" s="1"/>
  <c r="J42" i="2" a="1"/>
  <c r="J42" i="2" s="1"/>
  <c r="J43" i="2" a="1"/>
  <c r="J43" i="2" s="1"/>
  <c r="J44" i="2" a="1"/>
  <c r="J44" i="2" s="1"/>
  <c r="J45" i="2" a="1"/>
  <c r="J45" i="2" s="1"/>
  <c r="J46" i="2" a="1"/>
  <c r="J46" i="2" s="1"/>
  <c r="J47" i="2" a="1"/>
  <c r="J47" i="2" s="1"/>
  <c r="J48" i="2" a="1"/>
  <c r="J48" i="2" s="1"/>
  <c r="J49" i="2" a="1"/>
  <c r="J49" i="2" s="1"/>
  <c r="J50" i="2" a="1"/>
  <c r="J50" i="2" s="1"/>
  <c r="J51" i="2" a="1"/>
  <c r="J51" i="2" s="1"/>
  <c r="J52" i="2" a="1"/>
  <c r="J52" i="2" s="1"/>
  <c r="J53" i="2" a="1"/>
  <c r="J53" i="2" s="1"/>
  <c r="J54" i="2" a="1"/>
  <c r="J54" i="2" s="1"/>
  <c r="J55" i="2" a="1"/>
  <c r="J55" i="2" s="1"/>
  <c r="J56" i="2" a="1"/>
  <c r="J56" i="2"/>
  <c r="J57" i="2" a="1"/>
  <c r="J57" i="2" s="1"/>
  <c r="J58" i="2" a="1"/>
  <c r="J58" i="2" s="1"/>
  <c r="J59" i="2" a="1"/>
  <c r="J59" i="2" s="1"/>
  <c r="J60" i="2" a="1"/>
  <c r="J60" i="2" s="1"/>
  <c r="J61" i="2" a="1"/>
  <c r="J61" i="2" s="1"/>
  <c r="J62" i="2" a="1"/>
  <c r="J62" i="2" s="1"/>
  <c r="J63" i="2" a="1"/>
  <c r="J63" i="2" s="1"/>
  <c r="J64" i="2" a="1"/>
  <c r="J64" i="2" s="1"/>
  <c r="J65" i="2" a="1"/>
  <c r="J65" i="2" s="1"/>
  <c r="J66" i="2" a="1"/>
  <c r="J66" i="2" s="1"/>
  <c r="J67" i="2" a="1"/>
  <c r="J67" i="2" s="1"/>
  <c r="J68" i="2" a="1"/>
  <c r="J68" i="2" s="1"/>
  <c r="J69" i="2" a="1"/>
  <c r="J69" i="2" s="1"/>
  <c r="J70" i="2" a="1"/>
  <c r="J70" i="2" s="1"/>
  <c r="J71" i="2" a="1"/>
  <c r="J71" i="2" s="1"/>
  <c r="J72" i="2" a="1"/>
  <c r="J72" i="2" s="1"/>
  <c r="J73" i="2" a="1"/>
  <c r="J73" i="2" s="1"/>
  <c r="J74" i="2" a="1"/>
  <c r="J74" i="2" s="1"/>
  <c r="J75" i="2" a="1"/>
  <c r="J75" i="2" s="1"/>
  <c r="J76" i="2" a="1"/>
  <c r="J76" i="2" s="1"/>
  <c r="J77" i="2" a="1"/>
  <c r="J77" i="2"/>
  <c r="J78" i="2" a="1"/>
  <c r="J78" i="2" s="1"/>
  <c r="J79" i="2" a="1"/>
  <c r="J79" i="2" s="1"/>
  <c r="J80" i="2" a="1"/>
  <c r="J80" i="2" s="1"/>
  <c r="J81" i="2" a="1"/>
  <c r="J81" i="2" s="1"/>
  <c r="J82" i="2" a="1"/>
  <c r="J82" i="2" s="1"/>
  <c r="J83" i="2" a="1"/>
  <c r="J83" i="2" s="1"/>
  <c r="J84" i="2" a="1"/>
  <c r="J84" i="2" s="1"/>
  <c r="J85" i="2" a="1"/>
  <c r="J85" i="2"/>
  <c r="J86" i="2" a="1"/>
  <c r="J86" i="2"/>
  <c r="J87" i="2" a="1"/>
  <c r="J87" i="2" s="1"/>
  <c r="J88" i="2" a="1"/>
  <c r="J88" i="2" s="1"/>
  <c r="J89" i="2" a="1"/>
  <c r="J89" i="2" s="1"/>
  <c r="J90" i="2" a="1"/>
  <c r="J90" i="2" s="1"/>
  <c r="J91" i="2" a="1"/>
  <c r="J91" i="2" s="1"/>
  <c r="J92" i="2" a="1"/>
  <c r="J92" i="2" s="1"/>
  <c r="J93" i="2" a="1"/>
  <c r="J93" i="2" s="1"/>
  <c r="J94" i="2" a="1"/>
  <c r="J94" i="2" s="1"/>
  <c r="J95" i="2" a="1"/>
  <c r="J95" i="2" s="1"/>
  <c r="J96" i="2" a="1"/>
  <c r="J96" i="2" s="1"/>
  <c r="J97" i="2" a="1"/>
  <c r="J97" i="2"/>
  <c r="J98" i="2" a="1"/>
  <c r="J98" i="2" s="1"/>
  <c r="J99" i="2" a="1"/>
  <c r="J99" i="2" s="1"/>
  <c r="J100" i="2" a="1"/>
  <c r="J100" i="2" s="1"/>
  <c r="J101" i="2" a="1"/>
  <c r="J101" i="2" s="1"/>
  <c r="J102" i="2" a="1"/>
  <c r="J102" i="2" s="1"/>
  <c r="J103" i="2" a="1"/>
  <c r="J103" i="2" s="1"/>
  <c r="J104" i="2" a="1"/>
  <c r="J104" i="2" s="1"/>
  <c r="J105" i="2" a="1"/>
  <c r="J105" i="2" s="1"/>
  <c r="J106" i="2" a="1"/>
  <c r="J106" i="2"/>
  <c r="J107" i="2" a="1"/>
  <c r="J107" i="2" s="1"/>
  <c r="J108" i="2" a="1"/>
  <c r="J108" i="2" s="1"/>
  <c r="J109" i="2" a="1"/>
  <c r="J109" i="2"/>
  <c r="J110" i="2" a="1"/>
  <c r="J110" i="2" s="1"/>
  <c r="J111" i="2" a="1"/>
  <c r="J111" i="2" s="1"/>
  <c r="J112" i="2" a="1"/>
  <c r="J112" i="2" s="1"/>
  <c r="J113" i="2" a="1"/>
  <c r="J113" i="2" s="1"/>
  <c r="J114" i="2" a="1"/>
  <c r="J114" i="2"/>
  <c r="J115" i="2" a="1"/>
  <c r="J115" i="2" s="1"/>
  <c r="J116" i="2" a="1"/>
  <c r="J116" i="2" s="1"/>
  <c r="J117" i="2" a="1"/>
  <c r="J117" i="2" s="1"/>
  <c r="J118" i="2" a="1"/>
  <c r="J118" i="2" s="1"/>
  <c r="J119" i="2" a="1"/>
  <c r="J119" i="2" s="1"/>
  <c r="J120" i="2" a="1"/>
  <c r="J120" i="2" s="1"/>
  <c r="J121" i="2" a="1"/>
  <c r="J121" i="2" s="1"/>
  <c r="J122" i="2" a="1"/>
  <c r="J122" i="2" s="1"/>
  <c r="J123" i="2" a="1"/>
  <c r="J123" i="2" s="1"/>
  <c r="J124" i="2" a="1"/>
  <c r="J124" i="2" s="1"/>
  <c r="J125" i="2" a="1"/>
  <c r="J125" i="2" s="1"/>
  <c r="J126" i="2" a="1"/>
  <c r="J126" i="2" s="1"/>
  <c r="J127" i="2" a="1"/>
  <c r="J127" i="2" s="1"/>
  <c r="J128" i="2" a="1"/>
  <c r="J128" i="2" s="1"/>
  <c r="J129" i="2" a="1"/>
  <c r="J129" i="2" s="1"/>
  <c r="J130" i="2" a="1"/>
  <c r="J130" i="2" s="1"/>
  <c r="J131" i="2" a="1"/>
  <c r="J131" i="2" s="1"/>
  <c r="J132" i="2" a="1"/>
  <c r="J132" i="2" s="1"/>
  <c r="J133" i="2" a="1"/>
  <c r="J133" i="2" s="1"/>
  <c r="J134" i="2" a="1"/>
  <c r="J134" i="2" s="1"/>
  <c r="J135" i="2" a="1"/>
  <c r="J135" i="2" s="1"/>
  <c r="J136" i="2" a="1"/>
  <c r="J136" i="2" s="1"/>
  <c r="J2" i="2" a="1"/>
  <c r="J2" i="2" s="1"/>
  <c r="I3" i="2" a="1"/>
  <c r="I3" i="2" s="1"/>
  <c r="I4" i="2" a="1"/>
  <c r="I4" i="2" s="1"/>
  <c r="K2" i="1" s="1"/>
  <c r="I5" i="2" a="1"/>
  <c r="I5" i="2" s="1"/>
  <c r="I6" i="2" a="1"/>
  <c r="I6" i="2" s="1"/>
  <c r="I7" i="2" a="1"/>
  <c r="I7" i="2" s="1"/>
  <c r="K3" i="1" s="1"/>
  <c r="I8" i="2" a="1"/>
  <c r="I8" i="2" s="1"/>
  <c r="I9" i="2" a="1"/>
  <c r="I9" i="2" s="1"/>
  <c r="I10" i="2" a="1"/>
  <c r="I10" i="2" s="1"/>
  <c r="K4" i="1" s="1"/>
  <c r="I11" i="2" a="1"/>
  <c r="I11" i="2" s="1"/>
  <c r="I12" i="2" a="1"/>
  <c r="I12" i="2" s="1"/>
  <c r="I13" i="2" a="1"/>
  <c r="I13" i="2" s="1"/>
  <c r="K5" i="1" s="1"/>
  <c r="I14" i="2" a="1"/>
  <c r="I14" i="2" s="1"/>
  <c r="I15" i="2" a="1"/>
  <c r="I15" i="2" s="1"/>
  <c r="I16" i="2" a="1"/>
  <c r="I16" i="2" s="1"/>
  <c r="K6" i="1" s="1"/>
  <c r="I17" i="2" a="1"/>
  <c r="I17" i="2" s="1"/>
  <c r="I18" i="2" a="1"/>
  <c r="I18" i="2" s="1"/>
  <c r="I19" i="2" a="1"/>
  <c r="I19" i="2" s="1"/>
  <c r="K7" i="1" s="1"/>
  <c r="I20" i="2" a="1"/>
  <c r="I20" i="2" s="1"/>
  <c r="I21" i="2" a="1"/>
  <c r="I21" i="2" s="1"/>
  <c r="I22" i="2" a="1"/>
  <c r="I22" i="2"/>
  <c r="K8" i="1" s="1"/>
  <c r="I23" i="2" a="1"/>
  <c r="I23" i="2" s="1"/>
  <c r="I24" i="2" a="1"/>
  <c r="I24" i="2" s="1"/>
  <c r="I25" i="2" a="1"/>
  <c r="I25" i="2" s="1"/>
  <c r="K9" i="1" s="1"/>
  <c r="I26" i="2" a="1"/>
  <c r="I26" i="2" s="1"/>
  <c r="I27" i="2" a="1"/>
  <c r="I27" i="2" s="1"/>
  <c r="I28" i="2" a="1"/>
  <c r="I28" i="2" s="1"/>
  <c r="K10" i="1" s="1"/>
  <c r="I29" i="2" a="1"/>
  <c r="I29" i="2" s="1"/>
  <c r="I30" i="2" a="1"/>
  <c r="I30" i="2" s="1"/>
  <c r="I31" i="2" a="1"/>
  <c r="I31" i="2" s="1"/>
  <c r="K11" i="1" s="1"/>
  <c r="I32" i="2" a="1"/>
  <c r="I32" i="2" s="1"/>
  <c r="I33" i="2" a="1"/>
  <c r="I33" i="2" s="1"/>
  <c r="I34" i="2" a="1"/>
  <c r="I34" i="2" s="1"/>
  <c r="K12" i="1" s="1"/>
  <c r="I35" i="2" a="1"/>
  <c r="I35" i="2" s="1"/>
  <c r="I36" i="2" a="1"/>
  <c r="I36" i="2" s="1"/>
  <c r="I37" i="2" a="1"/>
  <c r="I37" i="2" s="1"/>
  <c r="K13" i="1" s="1"/>
  <c r="I38" i="2" a="1"/>
  <c r="I38" i="2" s="1"/>
  <c r="I39" i="2" a="1"/>
  <c r="I39" i="2" s="1"/>
  <c r="I40" i="2" a="1"/>
  <c r="I40" i="2" s="1"/>
  <c r="K14" i="1" s="1"/>
  <c r="I41" i="2" a="1"/>
  <c r="I41" i="2" s="1"/>
  <c r="I42" i="2" a="1"/>
  <c r="I42" i="2"/>
  <c r="I43" i="2" a="1"/>
  <c r="I43" i="2" s="1"/>
  <c r="K15" i="1" s="1"/>
  <c r="I44" i="2" a="1"/>
  <c r="I44" i="2" s="1"/>
  <c r="I45" i="2" a="1"/>
  <c r="I45" i="2" s="1"/>
  <c r="I46" i="2" a="1"/>
  <c r="I46" i="2" s="1"/>
  <c r="K16" i="1" s="1"/>
  <c r="I47" i="2" a="1"/>
  <c r="I47" i="2" s="1"/>
  <c r="I48" i="2" a="1"/>
  <c r="I48" i="2" s="1"/>
  <c r="I49" i="2" a="1"/>
  <c r="I49" i="2" s="1"/>
  <c r="K17" i="1" s="1"/>
  <c r="I50" i="2" a="1"/>
  <c r="I50" i="2" s="1"/>
  <c r="I51" i="2" a="1"/>
  <c r="I51" i="2" s="1"/>
  <c r="I52" i="2" a="1"/>
  <c r="I52" i="2" s="1"/>
  <c r="K18" i="1" s="1"/>
  <c r="I53" i="2" a="1"/>
  <c r="I53" i="2" s="1"/>
  <c r="I54" i="2" a="1"/>
  <c r="I54" i="2" s="1"/>
  <c r="I55" i="2" a="1"/>
  <c r="I55" i="2" s="1"/>
  <c r="K19" i="1" s="1"/>
  <c r="I56" i="2" a="1"/>
  <c r="I56" i="2" s="1"/>
  <c r="I57" i="2" a="1"/>
  <c r="I57" i="2" s="1"/>
  <c r="I58" i="2" a="1"/>
  <c r="I58" i="2" s="1"/>
  <c r="K20" i="1" s="1"/>
  <c r="I59" i="2" a="1"/>
  <c r="I59" i="2" s="1"/>
  <c r="I60" i="2" a="1"/>
  <c r="I60" i="2" s="1"/>
  <c r="I61" i="2" a="1"/>
  <c r="I61" i="2" s="1"/>
  <c r="K21" i="1" s="1"/>
  <c r="I62" i="2" a="1"/>
  <c r="I62" i="2" s="1"/>
  <c r="I63" i="2" a="1"/>
  <c r="I63" i="2" s="1"/>
  <c r="I64" i="2" a="1"/>
  <c r="I64" i="2" s="1"/>
  <c r="K22" i="1" s="1"/>
  <c r="I65" i="2" a="1"/>
  <c r="I65" i="2" s="1"/>
  <c r="I66" i="2" a="1"/>
  <c r="I66" i="2" s="1"/>
  <c r="I67" i="2" a="1"/>
  <c r="I67" i="2" s="1"/>
  <c r="K23" i="1" s="1"/>
  <c r="I68" i="2" a="1"/>
  <c r="I68" i="2" s="1"/>
  <c r="I69" i="2" a="1"/>
  <c r="I69" i="2" s="1"/>
  <c r="I70" i="2" a="1"/>
  <c r="I70" i="2" s="1"/>
  <c r="K24" i="1" s="1"/>
  <c r="I71" i="2" a="1"/>
  <c r="I71" i="2" s="1"/>
  <c r="I72" i="2" a="1"/>
  <c r="I72" i="2" s="1"/>
  <c r="I73" i="2" a="1"/>
  <c r="I73" i="2" s="1"/>
  <c r="K25" i="1" s="1"/>
  <c r="I74" i="2" a="1"/>
  <c r="I74" i="2" s="1"/>
  <c r="I75" i="2" a="1"/>
  <c r="I75" i="2" s="1"/>
  <c r="I76" i="2" a="1"/>
  <c r="I76" i="2" s="1"/>
  <c r="K26" i="1" s="1"/>
  <c r="I77" i="2" a="1"/>
  <c r="I77" i="2" s="1"/>
  <c r="I78" i="2" a="1"/>
  <c r="I78" i="2" s="1"/>
  <c r="I79" i="2" a="1"/>
  <c r="I79" i="2" s="1"/>
  <c r="K27" i="1" s="1"/>
  <c r="I80" i="2" a="1"/>
  <c r="I80" i="2" s="1"/>
  <c r="I81" i="2" a="1"/>
  <c r="I81" i="2" s="1"/>
  <c r="I82" i="2" a="1"/>
  <c r="I82" i="2"/>
  <c r="K28" i="1" s="1"/>
  <c r="I83" i="2" a="1"/>
  <c r="I83" i="2" s="1"/>
  <c r="I84" i="2" a="1"/>
  <c r="I84" i="2" s="1"/>
  <c r="I85" i="2" a="1"/>
  <c r="I85" i="2" s="1"/>
  <c r="K29" i="1" s="1"/>
  <c r="I86" i="2" a="1"/>
  <c r="I86" i="2" s="1"/>
  <c r="I87" i="2" a="1"/>
  <c r="I87" i="2" s="1"/>
  <c r="I88" i="2" a="1"/>
  <c r="I88" i="2" s="1"/>
  <c r="K30" i="1" s="1"/>
  <c r="I89" i="2" a="1"/>
  <c r="I89" i="2" s="1"/>
  <c r="I90" i="2" a="1"/>
  <c r="I90" i="2" s="1"/>
  <c r="I91" i="2" a="1"/>
  <c r="I91" i="2" s="1"/>
  <c r="K31" i="1" s="1"/>
  <c r="I92" i="2" a="1"/>
  <c r="I92" i="2" s="1"/>
  <c r="I93" i="2" a="1"/>
  <c r="I93" i="2" s="1"/>
  <c r="I94" i="2" a="1"/>
  <c r="I94" i="2" s="1"/>
  <c r="K32" i="1" s="1"/>
  <c r="I95" i="2" a="1"/>
  <c r="I95" i="2" s="1"/>
  <c r="I96" i="2" a="1"/>
  <c r="I96" i="2" s="1"/>
  <c r="I97" i="2" a="1"/>
  <c r="I97" i="2" s="1"/>
  <c r="K33" i="1" s="1"/>
  <c r="I98" i="2" a="1"/>
  <c r="I98" i="2"/>
  <c r="I99" i="2" a="1"/>
  <c r="I99" i="2" s="1"/>
  <c r="I100" i="2" a="1"/>
  <c r="I100" i="2" s="1"/>
  <c r="K34" i="1" s="1"/>
  <c r="I101" i="2" a="1"/>
  <c r="I101" i="2" s="1"/>
  <c r="I102" i="2" a="1"/>
  <c r="I102" i="2" s="1"/>
  <c r="I103" i="2" a="1"/>
  <c r="I103" i="2" s="1"/>
  <c r="K35" i="1" s="1"/>
  <c r="I104" i="2" a="1"/>
  <c r="I104" i="2" s="1"/>
  <c r="I105" i="2" a="1"/>
  <c r="I105" i="2" s="1"/>
  <c r="I106" i="2" a="1"/>
  <c r="I106" i="2" s="1"/>
  <c r="K36" i="1" s="1"/>
  <c r="I107" i="2" a="1"/>
  <c r="I107" i="2" s="1"/>
  <c r="I108" i="2" a="1"/>
  <c r="I108" i="2" s="1"/>
  <c r="I109" i="2" a="1"/>
  <c r="I109" i="2" s="1"/>
  <c r="K37" i="1" s="1"/>
  <c r="I110" i="2" a="1"/>
  <c r="I110" i="2"/>
  <c r="I111" i="2" a="1"/>
  <c r="I111" i="2" s="1"/>
  <c r="I112" i="2" a="1"/>
  <c r="I112" i="2" s="1"/>
  <c r="K38" i="1" s="1"/>
  <c r="I113" i="2" a="1"/>
  <c r="I113" i="2" s="1"/>
  <c r="I114" i="2" a="1"/>
  <c r="I114" i="2" s="1"/>
  <c r="I115" i="2" a="1"/>
  <c r="I115" i="2" s="1"/>
  <c r="K39" i="1" s="1"/>
  <c r="I116" i="2" a="1"/>
  <c r="I116" i="2" s="1"/>
  <c r="I117" i="2" a="1"/>
  <c r="I117" i="2" s="1"/>
  <c r="I118" i="2" a="1"/>
  <c r="I118" i="2" s="1"/>
  <c r="K40" i="1" s="1"/>
  <c r="I119" i="2" a="1"/>
  <c r="I119" i="2" s="1"/>
  <c r="I120" i="2" a="1"/>
  <c r="I120" i="2" s="1"/>
  <c r="I121" i="2" a="1"/>
  <c r="I121" i="2" s="1"/>
  <c r="K41" i="1" s="1"/>
  <c r="I122" i="2" a="1"/>
  <c r="I122" i="2" s="1"/>
  <c r="I123" i="2" a="1"/>
  <c r="I123" i="2" s="1"/>
  <c r="I124" i="2" a="1"/>
  <c r="I124" i="2" s="1"/>
  <c r="K42" i="1" s="1"/>
  <c r="I125" i="2" a="1"/>
  <c r="I125" i="2" s="1"/>
  <c r="I126" i="2" a="1"/>
  <c r="I126" i="2" s="1"/>
  <c r="I127" i="2" a="1"/>
  <c r="I127" i="2" s="1"/>
  <c r="K43" i="1" s="1"/>
  <c r="I128" i="2" a="1"/>
  <c r="I128" i="2" s="1"/>
  <c r="I129" i="2" a="1"/>
  <c r="I129" i="2" s="1"/>
  <c r="I130" i="2" a="1"/>
  <c r="I130" i="2" s="1"/>
  <c r="K44" i="1" s="1"/>
  <c r="I131" i="2" a="1"/>
  <c r="I131" i="2" s="1"/>
  <c r="I132" i="2" a="1"/>
  <c r="I132" i="2" s="1"/>
  <c r="I133" i="2" a="1"/>
  <c r="I133" i="2" s="1"/>
  <c r="K45" i="1" s="1"/>
  <c r="I134" i="2" a="1"/>
  <c r="I134" i="2" s="1"/>
  <c r="I135" i="2" a="1"/>
  <c r="I135" i="2" s="1"/>
  <c r="I136" i="2" a="1"/>
  <c r="I136" i="2" s="1"/>
  <c r="K46" i="1" s="1"/>
  <c r="I2" i="2" a="1"/>
  <c r="I2" i="2" s="1"/>
  <c r="L2" i="1" l="1"/>
  <c r="M2" i="1" s="1" a="1"/>
  <c r="M2" i="1" s="1"/>
  <c r="N2" i="1" s="1"/>
  <c r="L24" i="1"/>
  <c r="M24" i="1" s="1" a="1"/>
  <c r="M24" i="1" s="1"/>
  <c r="N24" i="1" s="1"/>
  <c r="L12" i="1"/>
  <c r="M12" i="1" s="1" a="1"/>
  <c r="M12" i="1" s="1"/>
  <c r="N12" i="1" s="1"/>
  <c r="L44" i="1"/>
  <c r="M44" i="1" s="1" a="1"/>
  <c r="M44" i="1" s="1"/>
  <c r="N44" i="1" s="1"/>
  <c r="L28" i="1"/>
  <c r="M28" i="1" s="1" a="1"/>
  <c r="M28" i="1" s="1"/>
  <c r="N28" i="1" s="1"/>
  <c r="L27" i="1"/>
  <c r="M27" i="1" s="1" a="1"/>
  <c r="M27" i="1" s="1"/>
  <c r="N27" i="1" s="1"/>
  <c r="L36" i="1"/>
  <c r="M36" i="1" s="1" a="1"/>
  <c r="M36" i="1" s="1"/>
  <c r="N36" i="1" s="1"/>
  <c r="L20" i="1"/>
  <c r="M20" i="1" s="1" a="1"/>
  <c r="M20" i="1" s="1"/>
  <c r="N20" i="1" s="1"/>
  <c r="L35" i="1"/>
  <c r="M35" i="1" s="1" a="1"/>
  <c r="M35" i="1" s="1"/>
  <c r="N35" i="1" s="1"/>
  <c r="L45" i="1"/>
  <c r="M45" i="1" s="1" a="1"/>
  <c r="M45" i="1" s="1"/>
  <c r="N45" i="1" s="1"/>
  <c r="L37" i="1"/>
  <c r="M37" i="1" s="1" a="1"/>
  <c r="M37" i="1" s="1"/>
  <c r="N37" i="1" s="1"/>
  <c r="L29" i="1"/>
  <c r="M29" i="1" s="1" a="1"/>
  <c r="M29" i="1" s="1"/>
  <c r="N29" i="1" s="1"/>
  <c r="L21" i="1"/>
  <c r="M21" i="1" s="1" a="1"/>
  <c r="M21" i="1" s="1"/>
  <c r="N21" i="1" s="1"/>
  <c r="L5" i="1"/>
  <c r="M5" i="1" s="1" a="1"/>
  <c r="M5" i="1" s="1"/>
  <c r="N5" i="1" s="1"/>
  <c r="L42" i="1"/>
  <c r="M42" i="1" s="1" a="1"/>
  <c r="M42" i="1" s="1"/>
  <c r="N42" i="1" s="1"/>
  <c r="L18" i="1"/>
  <c r="M18" i="1" s="1" a="1"/>
  <c r="M18" i="1" s="1"/>
  <c r="N18" i="1" s="1"/>
  <c r="L10" i="1"/>
  <c r="M10" i="1" s="1" a="1"/>
  <c r="M10" i="1" s="1"/>
  <c r="N10" i="1" s="1"/>
  <c r="L23" i="1"/>
  <c r="M23" i="1" s="1" a="1"/>
  <c r="M23" i="1" s="1"/>
  <c r="N23" i="1" s="1"/>
  <c r="L15" i="1"/>
  <c r="M15" i="1" s="1" a="1"/>
  <c r="M15" i="1" s="1"/>
  <c r="N15" i="1" s="1"/>
  <c r="L19" i="1"/>
  <c r="M19" i="1" s="1" a="1"/>
  <c r="M19" i="1" s="1"/>
  <c r="N19" i="1" s="1"/>
  <c r="L34" i="1"/>
  <c r="M34" i="1" s="1" a="1"/>
  <c r="M34" i="1" s="1"/>
  <c r="N34" i="1" s="1"/>
  <c r="L4" i="1"/>
  <c r="M4" i="1" s="1" a="1"/>
  <c r="M4" i="1" s="1"/>
  <c r="N4" i="1" s="1"/>
  <c r="L33" i="1"/>
  <c r="M33" i="1" s="1" a="1"/>
  <c r="M33" i="1" s="1"/>
  <c r="N33" i="1" s="1"/>
  <c r="L25" i="1"/>
  <c r="M25" i="1" s="1" a="1"/>
  <c r="M25" i="1" s="1"/>
  <c r="N25" i="1" s="1"/>
  <c r="L9" i="1"/>
  <c r="M9" i="1" s="1" a="1"/>
  <c r="M9" i="1" s="1"/>
  <c r="L26" i="1"/>
  <c r="M26" i="1" s="1" a="1"/>
  <c r="M26" i="1" s="1"/>
  <c r="N26" i="1" s="1"/>
  <c r="L46" i="1"/>
  <c r="M46" i="1" s="1" a="1"/>
  <c r="M46" i="1" s="1"/>
  <c r="N46" i="1" s="1"/>
  <c r="L38" i="1"/>
  <c r="M38" i="1" s="1" a="1"/>
  <c r="M38" i="1" s="1"/>
  <c r="N38" i="1" s="1"/>
  <c r="L30" i="1"/>
  <c r="M30" i="1" s="1" a="1"/>
  <c r="M30" i="1" s="1"/>
  <c r="N30" i="1" s="1"/>
  <c r="L41" i="1"/>
  <c r="M41" i="1" s="1" a="1"/>
  <c r="M41" i="1" s="1"/>
  <c r="N41" i="1" s="1"/>
  <c r="L14" i="1"/>
  <c r="M14" i="1" s="1" a="1"/>
  <c r="M14" i="1" s="1"/>
  <c r="N14" i="1" s="1"/>
  <c r="L11" i="1"/>
  <c r="M11" i="1" s="1" a="1"/>
  <c r="M11" i="1" s="1"/>
  <c r="N11" i="1" s="1"/>
  <c r="L3" i="1"/>
  <c r="M3" i="1" s="1" a="1"/>
  <c r="M3" i="1" s="1"/>
  <c r="N3" i="1" s="1"/>
  <c r="L40" i="1"/>
  <c r="M40" i="1" s="1" a="1"/>
  <c r="M40" i="1" s="1"/>
  <c r="N40" i="1" s="1"/>
  <c r="L32" i="1"/>
  <c r="M32" i="1" s="1" a="1"/>
  <c r="M32" i="1" s="1"/>
  <c r="N32" i="1" s="1"/>
  <c r="L8" i="1"/>
  <c r="M8" i="1" s="1" a="1"/>
  <c r="M8" i="1" s="1"/>
  <c r="N8" i="1" s="1"/>
  <c r="L17" i="1"/>
  <c r="M17" i="1" s="1" a="1"/>
  <c r="M17" i="1" s="1"/>
  <c r="N17" i="1" s="1"/>
  <c r="L16" i="1"/>
  <c r="M16" i="1" s="1" a="1"/>
  <c r="M16" i="1" s="1"/>
  <c r="N16" i="1" s="1"/>
  <c r="L39" i="1"/>
  <c r="M39" i="1" s="1" a="1"/>
  <c r="M39" i="1" s="1"/>
  <c r="N39" i="1" s="1"/>
  <c r="L31" i="1"/>
  <c r="M31" i="1" s="1" a="1"/>
  <c r="M31" i="1" s="1"/>
  <c r="N31" i="1" s="1"/>
  <c r="L7" i="1"/>
  <c r="M7" i="1" s="1" a="1"/>
  <c r="M7" i="1" s="1"/>
  <c r="N7" i="1" s="1"/>
  <c r="L22" i="1"/>
  <c r="M22" i="1" s="1" a="1"/>
  <c r="M22" i="1" s="1"/>
  <c r="N22" i="1" s="1"/>
  <c r="L6" i="1"/>
  <c r="M6" i="1" s="1" a="1"/>
  <c r="M6" i="1" s="1"/>
  <c r="N6" i="1" s="1"/>
  <c r="L13" i="1"/>
  <c r="M13" i="1" s="1" a="1"/>
  <c r="M13" i="1" s="1"/>
  <c r="N13" i="1" s="1"/>
  <c r="L43" i="1"/>
  <c r="M43" i="1" s="1" a="1"/>
  <c r="M43" i="1" s="1"/>
  <c r="N4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<sst xmlns="http://schemas.openxmlformats.org/spreadsheetml/2006/main" count="662" uniqueCount="290">
  <si>
    <t>Event_ID</t>
  </si>
  <si>
    <t>Smoothed_Peak_Date</t>
  </si>
  <si>
    <t>Start_Date</t>
  </si>
  <si>
    <t>End_Date</t>
  </si>
  <si>
    <t>Top_Raw_Date_1</t>
  </si>
  <si>
    <t>Top_Raw_GPR_1</t>
  </si>
  <si>
    <t>Top_Raw_Date_2</t>
  </si>
  <si>
    <t>Top_Raw_GPR_2</t>
  </si>
  <si>
    <t>Top_Raw_Date_3</t>
  </si>
  <si>
    <t>Top_Raw_GPR_3</t>
  </si>
  <si>
    <t>GPRD_11_1</t>
  </si>
  <si>
    <t>GPRD_11_2</t>
  </si>
  <si>
    <t>GPRD_11_3</t>
  </si>
  <si>
    <t>GPRD_11_4</t>
  </si>
  <si>
    <t>GPRD_11_5</t>
  </si>
  <si>
    <t>GPRD_21_1</t>
  </si>
  <si>
    <t>GPRD_21_2</t>
  </si>
  <si>
    <t>GPRD_21_3</t>
  </si>
  <si>
    <t>GPRD_21_4</t>
  </si>
  <si>
    <t>GPRD_21_5</t>
  </si>
  <si>
    <t>GPRD_31_1</t>
  </si>
  <si>
    <t>GPRD_31_2</t>
  </si>
  <si>
    <t>GPRD_31_3</t>
  </si>
  <si>
    <t>GPRD_31_4</t>
  </si>
  <si>
    <t>GPRD_31_5</t>
  </si>
  <si>
    <t>GPRD_ACT_11_1</t>
  </si>
  <si>
    <t>GPRD_ACT_11_2</t>
  </si>
  <si>
    <t>GPRD_ACT_11_3</t>
  </si>
  <si>
    <t>GPRD_ACT_11_4</t>
  </si>
  <si>
    <t>GPRD_ACT_11_5</t>
  </si>
  <si>
    <t>GPRD_ACT_21_1</t>
  </si>
  <si>
    <t>GPRD_ACT_21_2</t>
  </si>
  <si>
    <t>GPRD_ACT_21_3</t>
  </si>
  <si>
    <t>GPRD_ACT_21_4</t>
  </si>
  <si>
    <t>GPRD_ACT_21_5</t>
  </si>
  <si>
    <t>GPRD_ACT_31_1</t>
  </si>
  <si>
    <t>GPRD_ACT_31_2</t>
  </si>
  <si>
    <t>GPRD_ACT_31_3</t>
  </si>
  <si>
    <t>GPRD_ACT_31_4</t>
  </si>
  <si>
    <t>GPRD_ACT_31_5</t>
  </si>
  <si>
    <t>GPRD_THREAT_11_1</t>
  </si>
  <si>
    <t>GPRD_THREAT_11_2</t>
  </si>
  <si>
    <t>GPRD_THREAT_11_3</t>
  </si>
  <si>
    <t>GPRD_THREAT_11_4</t>
  </si>
  <si>
    <t>GPRD_THREAT_11_5</t>
  </si>
  <si>
    <t>GPRD_THREAT_21_1</t>
  </si>
  <si>
    <t>GPRD_THREAT_21_2</t>
  </si>
  <si>
    <t>GPRD_THREAT_21_3</t>
  </si>
  <si>
    <t>GPRD_THREAT_21_4</t>
  </si>
  <si>
    <t>GPRD_THREAT_21_5</t>
  </si>
  <si>
    <t>GPRD_THREAT_31_1</t>
  </si>
  <si>
    <t>GPRD_THREAT_31_2</t>
  </si>
  <si>
    <t>GPRD_THREAT_31_3</t>
  </si>
  <si>
    <t>GPRD_THREAT_31_4</t>
  </si>
  <si>
    <t>GPRD_THREAT_31_5</t>
  </si>
  <si>
    <t>Event_Start_Date</t>
  </si>
  <si>
    <t>Event_End_Date</t>
  </si>
  <si>
    <t>Raw_Rank</t>
  </si>
  <si>
    <t>Raw_Peak_Date</t>
  </si>
  <si>
    <t>Raw_GPR_Value</t>
  </si>
  <si>
    <t>Underlying_Event</t>
  </si>
  <si>
    <t>Source_Quality</t>
  </si>
  <si>
    <t>2015 - Suruç bombing / Turkey-PKK escalation</t>
  </si>
  <si>
    <t>Official / primary</t>
  </si>
  <si>
    <t>2015 - Paris attacks / French anti-terror response</t>
  </si>
  <si>
    <t>Original media (GPR-index newspaper)</t>
  </si>
  <si>
    <t>2015 - Russia-Turkey confrontation after Russian jet downing</t>
  </si>
  <si>
    <t>2021 - Gaza ceasefire / reconstruction aftermath</t>
  </si>
  <si>
    <t>2025 - Russia-Ukraine ceasefire negotiations / Putin response</t>
  </si>
  <si>
    <t>2025 - US suspension of military/intelligence support to Ukraine</t>
  </si>
  <si>
    <t>2026 - Iran war / Strait of Hormuz and energy disruption</t>
  </si>
  <si>
    <t>2017 - Tehran terrorist attacks</t>
  </si>
  <si>
    <t>2017 - Qatar diplomatic crisis / blockade</t>
  </si>
  <si>
    <t>2019 - Saudi-Iran tensions following Aramco attacks</t>
  </si>
  <si>
    <t>2019 - Turkey-Syria cross-border offensive</t>
  </si>
  <si>
    <t>2023 - Belgorod cross-border incursions / Russia-Ukraine war</t>
  </si>
  <si>
    <t>2021 - Sheikh Jarrah / Jerusalem tensions</t>
  </si>
  <si>
    <t>2021 - Israel-Gaza fighting</t>
  </si>
  <si>
    <t>2023 - Israel-Hamas war / early Gaza ground and humanitarian crisis</t>
  </si>
  <si>
    <t>2025 - Gaza humanitarian aid / distribution crisis</t>
  </si>
  <si>
    <t>2026 - Iran war / Gulf shipping and Strait of Hormuz</t>
  </si>
  <si>
    <t>2020 - Ukrainian airliner downing / US-Iran aftermath</t>
  </si>
  <si>
    <t>2020 - US-Iran confrontation after Soleimani killing</t>
  </si>
  <si>
    <t>2025 - Israel-Iran war / US intervention / ceasefire</t>
  </si>
  <si>
    <t>2016 - Battle of Aleppo / evacuation crisis</t>
  </si>
  <si>
    <t>2015 - Debaltseve / Donbas fighting</t>
  </si>
  <si>
    <t>2015 - Turkey-PKK military escalation</t>
  </si>
  <si>
    <t>2015 - Anti-ISIS military intervention in Syria/Iraq</t>
  </si>
  <si>
    <t>2017 - Israel-Syria military confrontation near Damascus</t>
  </si>
  <si>
    <t>2017 - Islamic State offensive around Deir ez-Zor</t>
  </si>
  <si>
    <t>2019 - India-Pakistan Balakot / aerial confrontation</t>
  </si>
  <si>
    <t>2016 - North Korea nuclear test</t>
  </si>
  <si>
    <t>2022 - Russia's invasion of Ukraine</t>
  </si>
  <si>
    <t>2014 - Crimea referendum / Russia-Ukraine confrontation</t>
  </si>
  <si>
    <t>2014 - ISIS killing of James Foley</t>
  </si>
  <si>
    <t>2014 - Israel-Gaza ceasefire collapse / renewed fighting</t>
  </si>
  <si>
    <t>2014 - Russian humanitarian aid convoy / Ukraine</t>
  </si>
  <si>
    <t>2017 - North Korea ballistic-missile / nuclear threat</t>
  </si>
  <si>
    <t>2022 - Vinnytsia missile strike / Russia-Ukraine war</t>
  </si>
  <si>
    <t>2026 - Iran war / US-Iran negotiations / Strait of Hormuz</t>
  </si>
  <si>
    <t>Uniqueness</t>
  </si>
  <si>
    <t>Source_ID</t>
  </si>
  <si>
    <t>Source_IDs</t>
  </si>
  <si>
    <t>Event</t>
  </si>
  <si>
    <t>Research window start</t>
  </si>
  <si>
    <t>Why start?</t>
  </si>
  <si>
    <t>Research window end</t>
  </si>
  <si>
    <t>Why end?</t>
  </si>
  <si>
    <t>Source description</t>
  </si>
  <si>
    <t>Source link</t>
  </si>
  <si>
    <t>Research window retained from the peak audit; source documents the Crimea referendum crisis during this period.</t>
  </si>
  <si>
    <t>Research-window endpoint; source supports the underlying Crimea crisis, not a formal event end.</t>
  </si>
  <si>
    <t>UN Security Council, 15 Mar 2014 — Security Council Fails to Adopt Text Urging Member States Not to Recognize Planned 16 March Referendum in Ukraine’s Crimea Region.</t>
  </si>
  <si>
    <t>https://press.un.org/en/2014/sc11319.doc.htm</t>
  </si>
  <si>
    <t>Source documents the Russian aid convoy clearing the border and entering eastern Ukraine during the peak window.</t>
  </si>
  <si>
    <t>Immediate research-window endpoint around the border crossing; not a claim that the broader Ukraine crisis ended.</t>
  </si>
  <si>
    <t>The Guardian, 23 Aug 2014 — Ukraine condemns 'direct invasion' as Russian aid convoy crosses border.</t>
  </si>
  <si>
    <t>https://www.theguardian.com/world/2014/aug/22/russian-convoy-crosses-border-ukraine-without-permission</t>
  </si>
  <si>
    <t>Source reports the release of the video claiming James Foley's killing on 19 August 2014.</t>
  </si>
  <si>
    <t>Immediate aftermath window; not a formal endpoint of the wider ISIS conflict.</t>
  </si>
  <si>
    <t>The Guardian, 19 Aug 2014 — Islamic State militants claim to have killed US journalist James Foley.</t>
  </si>
  <si>
    <t>https://www.theguardian.com/world/2014/aug/19/james-wright-foley-beheaded-isis-video</t>
  </si>
  <si>
    <t>Strongly supported: the 10-day ceasefire collapsed and fighting resumed on 19 August.</t>
  </si>
  <si>
    <t>Constructed short research-window endpoint around the immediate post-ceasefire escalation.</t>
  </si>
  <si>
    <t>The Guardian, 19 Aug 2014 — Israel and Hamas blame each other as rockets and air strikes end Gaza truce.</t>
  </si>
  <si>
    <t>https://www.theguardian.com/world/2014/aug/19/israel-hamas-blame-rockets-air-strikes-end-gaza-truce</t>
  </si>
  <si>
    <t>Research window captures the January escalation in eastern Ukraine.</t>
  </si>
  <si>
    <t>Strongly supported: UN/OHCHR states heavy fighting continued around Debaltseve until 18 February.</t>
  </si>
  <si>
    <t>The Guardian, 17 Feb 2015 — Heavy fighting at strategic rail hub in east Ukraine.</t>
  </si>
  <si>
    <t>https://www.theguardian.com/world/2015/feb/17/ukrainian-russian-separatists-capture-debaltseve-rail-ceasefire</t>
  </si>
  <si>
    <t>Strongly supported: the Suruç terrorist attack occurred on 20 July 2015.</t>
  </si>
  <si>
    <t>Immediate escalation window following the attack; endpoint is analytical rather than a claimed end to the conflict.</t>
  </si>
  <si>
    <t>UN Security Council, 22 Jul 2015 — Security Council Press Statement on Terrorist Attack in Suruc, Turkey.</t>
  </si>
  <si>
    <t>https://press.un.org/en/2015/sc11979.doc.htm</t>
  </si>
  <si>
    <t>Strongly supported: coordinated terrorist attacks occurred in Paris on 13 November.</t>
  </si>
  <si>
    <t>Constructed aftermath window covering the immediate French and international response.</t>
  </si>
  <si>
    <t>The Guardian, 13 Nov 2015 — Paris terror attacks: Hollande says Isis atrocity was 'act of war'.</t>
  </si>
  <si>
    <t>https://www.theguardian.com/world/2015/nov/13/paris-attacks-shootings-explosions-hostages</t>
  </si>
  <si>
    <t>Strongly supported: Turkey shot down the Russian Su-24 on 24 November 2015.</t>
  </si>
  <si>
    <t>Immediate diplomatic and military aftermath window.</t>
  </si>
  <si>
    <t>The Guardian, 24 Nov 2015 — Shooting down of Russian jet – how the day unfolded.</t>
  </si>
  <si>
    <t>https://www.theguardian.com/world/2015/nov/24/shooting-down-of-russian-jet-how-the-day-unfolded</t>
  </si>
  <si>
    <t>Strongly supported for the UK/coalition escalation: RAF flew its first offensive operation against Daesh targets in Syria on 3 December.</t>
  </si>
  <si>
    <t>Short operational window covering the initial Syrian extension of the UK air campaign.</t>
  </si>
  <si>
    <t>UK Ministry of Defence, 3 Dec 2015 — RAF conduct first air strikes in Syria.</t>
  </si>
  <si>
    <t>https://www.gov.uk/government/news/raf-conduct-first-air-strikes-in-syria</t>
  </si>
  <si>
    <t>Strongly supported: Turkey began a renewed bombing campaign against PKK positions in late July, ending the prior ceasefire.</t>
  </si>
  <si>
    <t>Short escalation window including the heaviest assault reported on 29 July.</t>
  </si>
  <si>
    <t>The Guardian, 29 Jul 2015 — Turkey steps up bombing of Kurdish targets in Iraq.</t>
  </si>
  <si>
    <t>https://www.theguardian.com/world/2015/jul/29/turkey-launches-biggest-attack-kurdish-militants</t>
  </si>
  <si>
    <t>Strongly supported: CTBTO detected the man-made seismic event associated with the DPRK's announced nuclear test on 6 January.</t>
  </si>
  <si>
    <t>Immediate confirmation/reporting window.</t>
  </si>
  <si>
    <t>CTBTO, 6 Jan 2016 — 2016 DPRK Announced Nuclear Test.</t>
  </si>
  <si>
    <t>https://www.ctbto.org/our-work/detecting-nuclear-tests/january-2016-dprk-nuclear-test</t>
  </si>
  <si>
    <t>Research window captures the final phase of the Aleppo battle and evacuation process.</t>
  </si>
  <si>
    <t>Endpoint retained from the peak audit; UN reporting confirms evacuations during 15–20 December.</t>
  </si>
  <si>
    <t>UN Security Council, 23 Dec 2016 — Situation in Syria Still ‘Catastrophic’ as Efforts to Evacuate Aleppo’s Eastern Districts End, United Nations Humanitarian Official Tells Security Council.</t>
  </si>
  <si>
    <t>https://press.un.org/en/2016/sc12655.doc.htm</t>
  </si>
  <si>
    <t>Strongly supported: Syria reported Israeli missile strikes against the Mezzeh military airport near Damascus on 13 January.</t>
  </si>
  <si>
    <t>Immediate aftermath window.</t>
  </si>
  <si>
    <t>The Guardian, 12 Jan 2017 — Syrian army blames Israel after explosions at military airport near Damascus.</t>
  </si>
  <si>
    <t>https://www.theguardian.com/world/2017/jan/13/syrian-army-blames-israel-explosions-military-airport-damascus</t>
  </si>
  <si>
    <t>Source documents the major ISIS breakthrough around Deir ez-Zor beginning on 16–17 January.</t>
  </si>
  <si>
    <t>Immediate escalation window.</t>
  </si>
  <si>
    <t>The Guardian, 17 Jan 2017 — Islamic State surrounds military airport in Deir ez-Zor, eastern Syria.</t>
  </si>
  <si>
    <t>https://www.theguardian.com/world/2017/jan/17/islamic-state-deir-ez-zor-syria-world-food-programme</t>
  </si>
  <si>
    <t>Strongly supported: Saudi Arabia, UAE, Egypt and Bahrain cut ties with Qatar and closed transport links on 5 June.</t>
  </si>
  <si>
    <t>Constructed research-window endpoint; the wider blockade continued beyond this date.</t>
  </si>
  <si>
    <t>The Guardian, 5 Jun 2017 — Gulf plunged into diplomatic crisis as countries cut ties with Qatar.</t>
  </si>
  <si>
    <t>https://www.theguardian.com/world/2017/jun/05/saudi-arabia-and-bahrain-break-diplomatic-ties-with-qatar-over-terrorism</t>
  </si>
  <si>
    <t>Strongly supported: Islamic State claimed the attacks on Iran's parliament and Khomeini shrine on 7 June.</t>
  </si>
  <si>
    <t>The Guardian, 7 Jun 2017 — Iranian military blames Saudis after 12 killed in Tehran terrorist attack.</t>
  </si>
  <si>
    <t>https://www.theguardian.com/world/2017/jun/07/shootings-iranian-parliament-khomeini-shrine</t>
  </si>
  <si>
    <t>UN Security Council reporting confirms DPRK missile provocations on 4 and 28 July.</t>
  </si>
  <si>
    <t>Strongly supported as the endpoint of the July missile episode: UN Resolution 2371 condemns the 3/4 July and 28 July launches.</t>
  </si>
  <si>
    <t>The Guardian, 4 Jul 2017 — North Korea claims successful test of intercontinental ballistic missile.</t>
  </si>
  <si>
    <t>https://www.theguardian.com/world/2017/jul/04/north-korea-launches-ballistic-missile-japans-defence-ministry-says</t>
  </si>
  <si>
    <t>Source set captures the escalation from the Pulwama bombing into the Balakot airstrike and subsequent aerial confrontation.</t>
  </si>
  <si>
    <t>Constructed wider research window; not a claim that India-Pakistan tensions ended on 15 March.</t>
  </si>
  <si>
    <t>The Guardian, 26 Feb 2019 — 'Get ready for our surprise': Pakistan warns India it will respond to airstrikes.</t>
  </si>
  <si>
    <t>https://www.theguardian.com/world/2019/feb/26/pakistan-india-jets-breached-ceasefire-line-kashmir-bomb</t>
  </si>
  <si>
    <t>Strongly supported: attacks on Saudi Aramco facilities occurred on 14 September.</t>
  </si>
  <si>
    <t>Constructed aftermath window; no claim that the wider Saudi-Iran confrontation ended here.</t>
  </si>
  <si>
    <t>The Guardian, 14 Sep 2019 — Pompeo: Iran behind attack on Saudi oil facilities that will reduce kingdom's output.</t>
  </si>
  <si>
    <t>https://www.theguardian.com/world/2019/sep/14/pompeo-iran-saudi-arabia-oil-yemen-houthi</t>
  </si>
  <si>
    <t>Strongly supported: Turkey launched Operation Peace Spring into north-eastern Syria on 9 October.</t>
  </si>
  <si>
    <t>Operational window through the announced five-day ceasefire on 17 October.</t>
  </si>
  <si>
    <t>The Guardian, 9 Oct 2019 — Turkey unleashes airstrikes against Kurds in north-east Syria.</t>
  </si>
  <si>
    <t>https://www.theguardian.com/world/2019/oct/09/turkey-launches-military-operation-in-northern-syria-erdogan</t>
  </si>
  <si>
    <t>Strongly supported: the US strike killing Qasem Soleimani occurred on 3 January and triggered major escalation.</t>
  </si>
  <si>
    <t>Immediate military/diplomatic escalation window following the US and Iranian attacks.</t>
  </si>
  <si>
    <t>The Guardian, 3 Jan 2020 — US kills Iran general Qassem Suleimani in strike ordered by Trump.</t>
  </si>
  <si>
    <t>https://www.theguardian.com/world/2020/jan/03/baghdad-airport-iraq-attack-deaths-iran-us-tensions</t>
  </si>
  <si>
    <t>Strongly supported: Ukraine International Airlines Flight PS752 crashed shortly after take-off from Tehran on 8 January.</t>
  </si>
  <si>
    <t>Immediate aftermath window covering investigation and attribution developments.</t>
  </si>
  <si>
    <t>The Guardian, 11 Jan 2020 — Iran admits unintentionally shooting down Ukrainian airliner.</t>
  </si>
  <si>
    <t>https://www.theguardian.com/world/2020/jan/11/iran-admits-shooting-down-ukrainian-airliner-unintentionally</t>
  </si>
  <si>
    <t>Strongly supported: protests and clashes over planned Sheikh Jarrah evictions intensified in Jerusalem on 9 May.</t>
  </si>
  <si>
    <t>Immediate escalation window into the broader May hostilities.</t>
  </si>
  <si>
    <t>The Guardian, 9 May 2021 — Israeli settlement ruling delayed as Jerusalem tensions run high.</t>
  </si>
  <si>
    <t>https://www.theguardian.com/world/2021/may/09/israeli-settlement-ruling-delayed-jerusalem-tensions-palestinians</t>
  </si>
  <si>
    <t>Strongly supported: UN OCHA defines the escalation of hostilities as 10–21 May 2021.</t>
  </si>
  <si>
    <t>Strongly supported: ceasefire began on 21 May after 11 days of hostilities.</t>
  </si>
  <si>
    <t>UN OCHA, 22 May 2021 — Gaza Strip: Escalation of hostilities 10–21 May 2021.</t>
  </si>
  <si>
    <t>https://www.ochaopt.org/content/gaza-strip-escalation-hostilities-10-21-may-2021</t>
  </si>
  <si>
    <t>Strongly supported: the ceasefire took hold on 21 May and reporting immediately shifted to reconstruction and humanitarian consequences.</t>
  </si>
  <si>
    <t>Short post-ceasefire research window; not a claim that the broader conflict ended.</t>
  </si>
  <si>
    <t>The Guardian, 21 May 2021 — World leaders hail Gaza-Israel ceasefire and vow to help Palestinians rebuild.</t>
  </si>
  <si>
    <t>https://www.theguardian.com/world/2021/may/21/gaza-israel-ceasefire-biden-raab-guterres</t>
  </si>
  <si>
    <t>Strongly supported: UN Secretary-General identifies the Russian military operation in Ukraine on 24 February.</t>
  </si>
  <si>
    <t>Constructed early-war research window; the wider invasion continued well beyond this date.</t>
  </si>
  <si>
    <t>UN Secretary-General, 24 Feb 2022 — Statement on Russian military offensive in Ukraine.</t>
  </si>
  <si>
    <t>https://press.un.org/en/2022/sgsm21158.doc.htm</t>
  </si>
  <si>
    <t>Strongly supported: a major Russian missile strike hit Vinnytsia on 14 July.</t>
  </si>
  <si>
    <t>The Guardian, 14 Jul 2022 — Zelenskiy condemns Russian ‘terrorism’ as Vinnytsia attack kills more than 20.</t>
  </si>
  <si>
    <t>https://www.theguardian.com/world/2022/jul/14/russian-missiles-kill-ukrainian-city-vinnytsia</t>
  </si>
  <si>
    <t>Strongly supported: fighting and a cross-border raid were reported in Russia's Belgorod region on 22 May.</t>
  </si>
  <si>
    <t>The Guardian, 22 May 2023 — Anti-Putin militia claims to have overrun village in Russia border region of Belgorod.</t>
  </si>
  <si>
    <t>https://www.theguardian.com/world/2023/may/22/anti-kremlin-militia-freedom-of-russia-legion-overrun-russian-border-village-kozinka</t>
  </si>
  <si>
    <t>Strongly supported: UN OCHA identifies 7 October as the beginning of the hostilities.</t>
  </si>
  <si>
    <t>Research-window endpoint retained from the peak audit; the conflict continued after this date.</t>
  </si>
  <si>
    <t>UN OCHA, 21 Nov 2023 — Hostilities in the Gaza Strip and Israel | Flash Update #46.</t>
  </si>
  <si>
    <t>https://www.ochaopt.org/content/hostilities-gaza-strip-and-israel-flash-update-46</t>
  </si>
  <si>
    <t>Strongly supported: the Trump administration announced a pause in US military aid on 3 March 2025.</t>
  </si>
  <si>
    <t>Immediate policy aftermath including the subsequent intelligence-sharing pause.</t>
  </si>
  <si>
    <t>The Guardian, 4 Mar 2025 — US suspends all military aid to Ukraine in wake of Trump-Zelenskyy row.</t>
  </si>
  <si>
    <t>https://www.theguardian.com/world/2025/mar/04/us-military-aid-ukraine-pause-trump-zelenskyy-updates</t>
  </si>
  <si>
    <t>Strongly supported: Ukraine agreed to a proposed 30-day ceasefire in talks with the US on 11 March, followed by Putin's response.</t>
  </si>
  <si>
    <t>Research window covers the immediate negotiation cycle and Putin's conditions.</t>
  </si>
  <si>
    <t>The Guardian, 13 Mar 2025 — Putin questions Ukraine ceasefire plan and sets out string of conditions.</t>
  </si>
  <si>
    <t>https://www.theguardian.com/world/2025/mar/13/russia-wary-of-proposed-ukraine-ceasefire-plan-as-us-talks-begin</t>
  </si>
  <si>
    <t>Source directly documents the humanitarian situation and aid-delivery crisis during the peak window.</t>
  </si>
  <si>
    <t>Short research window around the relevant humanitarian update; not a claim that the wider Gaza crisis ended.</t>
  </si>
  <si>
    <t>UN OCHA, 5 Jun 2025 — Humanitarian Situation Update #294, Gaza Strip.</t>
  </si>
  <si>
    <t>https://www.ochaopt.org/content/humanitarian-situation-update-294-gaza-strip</t>
  </si>
  <si>
    <t>Strongly supported: Israeli air strikes on Iran began on 13 June.</t>
  </si>
  <si>
    <t>Ceasefire announced on 24 June; this is the substantive endpoint for the acute military episode.</t>
  </si>
  <si>
    <t>UN Security Council, 13 Jun 2025 — Meeting/reporting on Israeli strikes against Iran.</t>
  </si>
  <si>
    <t>https://press.un.org/en/2025/sc16087.doc.htm</t>
  </si>
  <si>
    <t>Strongly supported: the Iran war began with the US-Israeli attack on 28 February; the associated Hormuz disruption followed immediately.</t>
  </si>
  <si>
    <t>Research window covers the early-war shutdown of shipping and energy disruption in the Strait.</t>
  </si>
  <si>
    <t>The Guardian, 3 Mar 2026 — Iran has largely halted oil and gas exports through strait of Hormuz.</t>
  </si>
  <si>
    <t>https://www.theguardian.com/world/2026/mar/03/iran-has-largely-halted-oil-and-gas-exports-through-strait-of-hormuz</t>
  </si>
  <si>
    <t>Strongly supported: the Guardian reports US-Iran talks and a potentially significant diplomatic offer during the March escalation.</t>
  </si>
  <si>
    <t>Research window captures the subsequent US-Iran talks and the dispute over reopening Hormuz.</t>
  </si>
  <si>
    <t>The Guardian, 17 Mar 2026 — UK security adviser ‘attended’ US-Iran talks and judged deal was within reach.</t>
  </si>
  <si>
    <t>https://www.theguardian.com/world/2026/mar/17/uk-security-adviser-attended-us-iran-talks-and-judged-deal-was-within-reach</t>
  </si>
  <si>
    <t>Strongly supported: merchant shipping through Hormuz remained a major geopolitical and security issue during the war.</t>
  </si>
  <si>
    <t>Extended immediate-shipping research window around the continuing maritime disruption.</t>
  </si>
  <si>
    <t>The Guardian, 18 Mar 2026 — UK says it remains in talks over escorting ships through strait of Hormuz.</t>
  </si>
  <si>
    <t>https://www.theguardian.com/world/2026/mar/18/uk-says-it-remains-in-talks-over-escorting-ships-through-strait-of-hormuz</t>
  </si>
  <si>
    <t>E01 – 2015 Suruç bombing / Turkey-PKK escalation</t>
  </si>
  <si>
    <t>E02 – 2015 Paris attacks / French anti-terror response</t>
  </si>
  <si>
    <t>E03 – 2015 Russia-Turkey confrontation after Russian jet downing</t>
  </si>
  <si>
    <t>E04 – 2021 Gaza ceasefire / reconstruction aftermath</t>
  </si>
  <si>
    <t>E05 – 2025 Russia-Ukraine ceasefire negotiations / Putin response</t>
  </si>
  <si>
    <t>E06 – 2025 US suspension of military/intelligence support to Ukraine</t>
  </si>
  <si>
    <t>E07 – 2026 Iran war / Strait of Hormuz and energy disruption</t>
  </si>
  <si>
    <t>E08 – 2017 Tehran terrorist attacks</t>
  </si>
  <si>
    <t>E09 – 2017 Qatar diplomatic crisis / blockade</t>
  </si>
  <si>
    <t>E10 – 2019 Saudi-Iran tensions following Aramco attacks</t>
  </si>
  <si>
    <t>E11 – 2019 Turkey-Syria cross-border offensive</t>
  </si>
  <si>
    <t>E12 – 2023 Belgorod cross-border incursions / Russia-Ukraine war</t>
  </si>
  <si>
    <t>E13 – 2021 Sheikh Jarrah / Jerusalem tensions</t>
  </si>
  <si>
    <t>E14 – 2021 Israel-Gaza fighting</t>
  </si>
  <si>
    <t>E15 – 2023 Israel-Hamas war / early Gaza ground and humanitarian crisis</t>
  </si>
  <si>
    <t>E16 – 2025 Gaza humanitarian aid / distribution crisis</t>
  </si>
  <si>
    <t>E17 – 2026 Iran war / Gulf shipping and Strait of Hormuz</t>
  </si>
  <si>
    <t>E18 – 2020 Ukrainian airliner downing / US-Iran aftermath</t>
  </si>
  <si>
    <t>E19 – 2020 US-Iran confrontation after Soleimani killing</t>
  </si>
  <si>
    <t>E20 – 2025 Israel-Iran war / US intervention / ceasefire</t>
  </si>
  <si>
    <t>E21 – 2016 Battle of Aleppo / evacuation crisis</t>
  </si>
  <si>
    <t>E22 – 2015 Debaltseve / Donbas fighting</t>
  </si>
  <si>
    <t>E23 – 2015 Turkey-PKK military escalation</t>
  </si>
  <si>
    <t>E24 – 2015 Anti-ISIS military intervention in Syria/Iraq</t>
  </si>
  <si>
    <t>E25 – 2017 Israel-Syria military confrontation near Damascus</t>
  </si>
  <si>
    <t>E26 – 2017 Islamic State offensive around Deir ez-Zor</t>
  </si>
  <si>
    <t>E27 – 2019 India-Pakistan Balakot / aerial confrontation</t>
  </si>
  <si>
    <t>E28 – 2016 North Korea nuclear test</t>
  </si>
  <si>
    <t>E29 – 2022 Russia's invasion of Ukraine</t>
  </si>
  <si>
    <t>E30 – 2014 Crimea referendum / Russia-Ukraine confrontation</t>
  </si>
  <si>
    <t>E31 – 2014 ISIS killing of James Foley</t>
  </si>
  <si>
    <t>E32 – 2014 Israel-Gaza ceasefire collapse / renewed fighting</t>
  </si>
  <si>
    <t>E33 – 2014 Russian humanitarian aid convoy / Ukraine</t>
  </si>
  <si>
    <t>E34 – 2017 North Korea ballistic-missile / nuclear threat</t>
  </si>
  <si>
    <t>E35 – 2022 Vinnytsia missile strike / Russia-Ukraine war</t>
  </si>
  <si>
    <t>E36 – 2026 Iran war / US-Iran negotiations / Strait of Hormuz</t>
  </si>
  <si>
    <t>Total Source_IDs</t>
  </si>
  <si>
    <t>Additional Source_IDs within event window</t>
  </si>
  <si>
    <t>event names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</si>
</sst>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color theme="1"/>
      <name val="Aptos Narrow"/>
      <family val="2"/>
      <scheme val="minor"/>
    </font>
    <font>
      <b/>
      <sz val="11"/>
      <color rgb="FFFFFFFF"/>
      <name val="Carlito"/>
    </font>
    <font>
      <sz val="8"/>
      <name val="Aptos Narrow"/>
      <family val="2"/>
      <scheme val="minor"/>
    </font>
    <font>
      <sz val="11"/>
      <color rgb="FF000000"/>
      <name val="Carlito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  <bgColor rgb="FF000000"/>
      </patternFill>
    </fill>
  </fills>
  <borders count="9">
    <border>
      <left/>
      <right/>
      <top/>
      <bottom/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/>
      <top/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3" xfId="0" applyBorder="1" applyAlignment="1">
      <alignment vertical="top" wrapText="1"/>
    </xf>
    <xf numFmtId="164" fontId="0" fillId="0" borderId="3" xfId="0" applyNumberFormat="1" applyBorder="1" applyAlignment="1">
      <alignment vertical="top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1" fillId="3" borderId="0" xfId="0" applyFont="1" applyFill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4" fillId="0" borderId="0" xfId="1" applyAlignment="1">
      <alignment vertical="top" wrapText="1"/>
    </xf>
    <xf numFmtId="14" fontId="3" fillId="0" borderId="0" xfId="0" applyNumberFormat="1" applyFont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heguardian.com/world/2021/may/09/israeli-settlement-ruling-delayed-jerusalem-tensions-palestinians" TargetMode="External"/><Relationship Id="rId18" Type="http://schemas.openxmlformats.org/officeDocument/2006/relationships/hyperlink" Target="https://www.theguardian.com/world/2020/jan/11/iran-admits-shooting-down-ukrainian-airliner-unintentionally" TargetMode="External"/><Relationship Id="rId26" Type="http://schemas.openxmlformats.org/officeDocument/2006/relationships/hyperlink" Target="https://www.theguardian.com/world/2017/jan/17/islamic-state-deir-ez-zor-syria-world-food-programme" TargetMode="External"/><Relationship Id="rId3" Type="http://schemas.openxmlformats.org/officeDocument/2006/relationships/hyperlink" Target="https://www.theguardian.com/world/2015/nov/24/shooting-down-of-russian-jet-how-the-day-unfolded" TargetMode="External"/><Relationship Id="rId21" Type="http://schemas.openxmlformats.org/officeDocument/2006/relationships/hyperlink" Target="https://press.un.org/en/2016/sc12655.doc.htm" TargetMode="External"/><Relationship Id="rId34" Type="http://schemas.openxmlformats.org/officeDocument/2006/relationships/hyperlink" Target="https://www.theguardian.com/world/2017/jul/04/north-korea-launches-ballistic-missile-japans-defence-ministry-says" TargetMode="External"/><Relationship Id="rId7" Type="http://schemas.openxmlformats.org/officeDocument/2006/relationships/hyperlink" Target="https://www.theguardian.com/world/2026/mar/03/iran-has-largely-halted-oil-and-gas-exports-through-strait-of-hormuz" TargetMode="External"/><Relationship Id="rId12" Type="http://schemas.openxmlformats.org/officeDocument/2006/relationships/hyperlink" Target="https://www.theguardian.com/world/2023/may/22/anti-kremlin-militia-freedom-of-russia-legion-overrun-russian-border-village-kozinka" TargetMode="External"/><Relationship Id="rId17" Type="http://schemas.openxmlformats.org/officeDocument/2006/relationships/hyperlink" Target="https://www.theguardian.com/world/2026/mar/18/uk-says-it-remains-in-talks-over-escorting-ships-through-strait-of-hormuz" TargetMode="External"/><Relationship Id="rId25" Type="http://schemas.openxmlformats.org/officeDocument/2006/relationships/hyperlink" Target="https://www.theguardian.com/world/2017/jan/13/syrian-army-blames-israel-explosions-military-airport-damascus" TargetMode="External"/><Relationship Id="rId33" Type="http://schemas.openxmlformats.org/officeDocument/2006/relationships/hyperlink" Target="https://www.theguardian.com/world/2014/aug/22/russian-convoy-crosses-border-ukraine-without-permission" TargetMode="External"/><Relationship Id="rId2" Type="http://schemas.openxmlformats.org/officeDocument/2006/relationships/hyperlink" Target="https://www.theguardian.com/world/2015/nov/13/paris-attacks-shootings-explosions-hostages" TargetMode="External"/><Relationship Id="rId16" Type="http://schemas.openxmlformats.org/officeDocument/2006/relationships/hyperlink" Target="https://www.ochaopt.org/content/humanitarian-situation-update-294-gaza-strip" TargetMode="External"/><Relationship Id="rId20" Type="http://schemas.openxmlformats.org/officeDocument/2006/relationships/hyperlink" Target="https://press.un.org/en/2025/sc16087.doc.htm" TargetMode="External"/><Relationship Id="rId29" Type="http://schemas.openxmlformats.org/officeDocument/2006/relationships/hyperlink" Target="https://press.un.org/en/2022/sgsm21158.doc.htm" TargetMode="External"/><Relationship Id="rId1" Type="http://schemas.openxmlformats.org/officeDocument/2006/relationships/hyperlink" Target="https://press.un.org/en/2015/sc11979.doc.htm" TargetMode="External"/><Relationship Id="rId6" Type="http://schemas.openxmlformats.org/officeDocument/2006/relationships/hyperlink" Target="https://www.theguardian.com/world/2025/mar/04/us-military-aid-ukraine-pause-trump-zelenskyy-updates" TargetMode="External"/><Relationship Id="rId11" Type="http://schemas.openxmlformats.org/officeDocument/2006/relationships/hyperlink" Target="https://www.theguardian.com/world/2019/oct/09/turkey-launches-military-operation-in-northern-syria-erdogan" TargetMode="External"/><Relationship Id="rId24" Type="http://schemas.openxmlformats.org/officeDocument/2006/relationships/hyperlink" Target="https://www.gov.uk/government/news/raf-conduct-first-air-strikes-in-syria" TargetMode="External"/><Relationship Id="rId32" Type="http://schemas.openxmlformats.org/officeDocument/2006/relationships/hyperlink" Target="https://www.theguardian.com/world/2014/aug/19/israel-hamas-blame-rockets-air-strikes-end-gaza-truce" TargetMode="External"/><Relationship Id="rId5" Type="http://schemas.openxmlformats.org/officeDocument/2006/relationships/hyperlink" Target="https://www.theguardian.com/world/2025/mar/13/russia-wary-of-proposed-ukraine-ceasefire-plan-as-us-talks-begin" TargetMode="External"/><Relationship Id="rId15" Type="http://schemas.openxmlformats.org/officeDocument/2006/relationships/hyperlink" Target="https://www.ochaopt.org/content/hostilities-gaza-strip-and-israel-flash-update-46" TargetMode="External"/><Relationship Id="rId23" Type="http://schemas.openxmlformats.org/officeDocument/2006/relationships/hyperlink" Target="https://www.theguardian.com/world/2015/jul/29/turkey-launches-biggest-attack-kurdish-militants" TargetMode="External"/><Relationship Id="rId28" Type="http://schemas.openxmlformats.org/officeDocument/2006/relationships/hyperlink" Target="https://www.ctbto.org/our-work/detecting-nuclear-tests/january-2016-dprk-nuclear-test" TargetMode="External"/><Relationship Id="rId36" Type="http://schemas.openxmlformats.org/officeDocument/2006/relationships/hyperlink" Target="https://www.theguardian.com/world/2026/mar/17/uk-security-adviser-attended-us-iran-talks-and-judged-deal-was-within-reach" TargetMode="External"/><Relationship Id="rId10" Type="http://schemas.openxmlformats.org/officeDocument/2006/relationships/hyperlink" Target="https://www.theguardian.com/world/2019/sep/14/pompeo-iran-saudi-arabia-oil-yemen-houthi" TargetMode="External"/><Relationship Id="rId19" Type="http://schemas.openxmlformats.org/officeDocument/2006/relationships/hyperlink" Target="https://www.theguardian.com/world/2020/jan/03/baghdad-airport-iraq-attack-deaths-iran-us-tensions" TargetMode="External"/><Relationship Id="rId31" Type="http://schemas.openxmlformats.org/officeDocument/2006/relationships/hyperlink" Target="https://www.theguardian.com/world/2014/aug/19/james-wright-foley-beheaded-isis-video" TargetMode="External"/><Relationship Id="rId4" Type="http://schemas.openxmlformats.org/officeDocument/2006/relationships/hyperlink" Target="https://www.theguardian.com/world/2021/may/21/gaza-israel-ceasefire-biden-raab-guterres" TargetMode="External"/><Relationship Id="rId9" Type="http://schemas.openxmlformats.org/officeDocument/2006/relationships/hyperlink" Target="https://www.theguardian.com/world/2017/jun/05/saudi-arabia-and-bahrain-break-diplomatic-ties-with-qatar-over-terrorism" TargetMode="External"/><Relationship Id="rId14" Type="http://schemas.openxmlformats.org/officeDocument/2006/relationships/hyperlink" Target="https://www.ochaopt.org/content/gaza-strip-escalation-hostilities-10-21-may-2021" TargetMode="External"/><Relationship Id="rId22" Type="http://schemas.openxmlformats.org/officeDocument/2006/relationships/hyperlink" Target="https://www.theguardian.com/world/2015/feb/17/ukrainian-russian-separatists-capture-debaltseve-rail-ceasefire" TargetMode="External"/><Relationship Id="rId27" Type="http://schemas.openxmlformats.org/officeDocument/2006/relationships/hyperlink" Target="https://www.theguardian.com/world/2019/feb/26/pakistan-india-jets-breached-ceasefire-line-kashmir-bomb" TargetMode="External"/><Relationship Id="rId30" Type="http://schemas.openxmlformats.org/officeDocument/2006/relationships/hyperlink" Target="https://press.un.org/en/2014/sc11319.doc.htm" TargetMode="External"/><Relationship Id="rId35" Type="http://schemas.openxmlformats.org/officeDocument/2006/relationships/hyperlink" Target="https://www.theguardian.com/world/2022/jul/14/russian-missiles-kill-ukrainian-city-vinnytsia" TargetMode="External"/><Relationship Id="rId8" Type="http://schemas.openxmlformats.org/officeDocument/2006/relationships/hyperlink" Target="https://www.theguardian.com/world/2017/jun/07/shootings-iranian-parliament-khomeini-shrin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91006-3554-42AA-B1CC-42A566418E20}">
  <dimension ref="A1:O46"/>
  <sheetViews>
    <sheetView tabSelected="1" topLeftCell="I1" workbookViewId="0">
      <selection activeCell="N7" sqref="N7"/>
    </sheetView>
  </sheetViews>
  <sheetFormatPr defaultRowHeight="14.4"/>
  <cols>
    <col min="2" max="5" width="10.33203125" bestFit="1" customWidth="1"/>
    <col min="7" max="7" width="10.33203125" bestFit="1" customWidth="1"/>
    <col min="8" max="8" width="11.5546875" bestFit="1" customWidth="1"/>
    <col min="9" max="9" width="10.33203125" bestFit="1" customWidth="1"/>
    <col min="11" max="11" width="12.33203125" customWidth="1"/>
    <col min="12" max="12" width="11.44140625" customWidth="1"/>
    <col min="13" max="13" width="19.6640625" customWidth="1"/>
    <col min="14" max="14" width="19.88671875" customWidth="1"/>
    <col min="15" max="15" width="89" customWidth="1"/>
  </cols>
  <sheetData>
    <row r="1" spans="1:15" ht="41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100</v>
      </c>
      <c r="L1" s="1" t="s">
        <v>102</v>
      </c>
      <c r="M1" s="1" t="s">
        <v>288</v>
      </c>
      <c r="N1" s="1" t="s">
        <v>287</v>
      </c>
      <c r="O1" s="1" t="s">
        <v>289</v>
      </c>
    </row>
    <row r="2" spans="1:15" ht="28.8">
      <c r="A2" s="2" t="s">
        <v>10</v>
      </c>
      <c r="B2" s="3">
        <v>42207</v>
      </c>
      <c r="C2" s="3">
        <v>42192</v>
      </c>
      <c r="D2" s="3">
        <v>42212</v>
      </c>
      <c r="E2" s="3">
        <v>42200</v>
      </c>
      <c r="F2" s="2">
        <v>229.97799682617188</v>
      </c>
      <c r="G2" s="3">
        <v>42206</v>
      </c>
      <c r="H2" s="2">
        <v>193.97918701171875</v>
      </c>
      <c r="I2" s="3">
        <v>42207</v>
      </c>
      <c r="J2" s="2">
        <v>152.95497131347656</v>
      </c>
      <c r="K2">
        <f>VLOOKUP(A2,'135 Raw Peak Audit'!$A$1:$I$136,9)</f>
        <v>1</v>
      </c>
      <c r="L2" t="str">
        <f>_xlfn.TEXTJOIN("; ",TRUE,_xlfn.UNIQUE(_xlfn.VSTACK(
_xlfn.XLOOKUP(E2,'135 Raw Peak Audit'!$E$2:$E$136,'135 Raw Peak Audit'!$J$2:$J$136),
_xlfn.XLOOKUP(G2,'135 Raw Peak Audit'!$E$2:$E$136,'135 Raw Peak Audit'!$J$2:$J$136),
_xlfn.XLOOKUP(I2,'135 Raw Peak Audit'!$E$2:$E$136,'135 Raw Peak Audit'!$J$2:$J$136)
)))</f>
        <v>E01</v>
      </c>
      <c r="M2" t="str" cm="1">
        <f t="array" ref="M2">_xlfn.LET(
    _xlpm.id,A2,
    _xlpm.start,C2,
    _xlpm.finish,D2,
    _xlpm.rawID,'135 Raw Peak Audit'!$A$2:$A$136,
    _xlpm.rawDate,'135 Raw Peak Audit'!$E$2:$E$136,
    _xlpm.rawSource,'135 Raw Peak Audit'!$J$2:$J$136,
    _xlpm.current,_xlfn.TEXTSPLIT(SUBSTITUTE(L2,"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2" t="str">
        <f>_xlfn.CONCAT(L2,IF(M2="","",";"),M2)</f>
        <v>E01</v>
      </c>
      <c r="O2" t="str" cm="1">
        <f t="array" ref="O2">_xlfn.LET(
    _xlpm.events,_xlfn._xlws.FILTER(
        '135 Raw Peak Audit'!$G$2:$G$136,
        ('135 Raw Peak Audit'!$E$2:$E$136&gt;=C2)*
        ('135 Raw Peak Audit'!$E$2:$E$136&lt;=D2)
    ),
    _xlfn.TEXTJOIN("; ",TRUE,_xlfn.UNIQUE(_xlpm.events))
)</f>
        <v>2015 - Suruç bombing / Turkey-PKK escalation</v>
      </c>
    </row>
    <row r="3" spans="1:15" ht="28.8">
      <c r="A3" s="4" t="s">
        <v>11</v>
      </c>
      <c r="B3" s="5">
        <v>42331</v>
      </c>
      <c r="C3" s="5">
        <v>42314</v>
      </c>
      <c r="D3" s="5">
        <v>42338</v>
      </c>
      <c r="E3" s="5">
        <v>42325</v>
      </c>
      <c r="F3" s="4">
        <v>354.0518798828125</v>
      </c>
      <c r="G3" s="5">
        <v>42326</v>
      </c>
      <c r="H3" s="4">
        <v>309.495361328125</v>
      </c>
      <c r="I3" s="5">
        <v>42333</v>
      </c>
      <c r="J3" s="4">
        <v>247.6171875</v>
      </c>
      <c r="K3">
        <f>VLOOKUP(A3,'135 Raw Peak Audit'!$A$1:$I$136,9)</f>
        <v>2</v>
      </c>
      <c r="L3" t="str">
        <f>_xlfn.TEXTJOIN("; ",TRUE,_xlfn.UNIQUE(_xlfn.VSTACK(
_xlfn.XLOOKUP(E3,'135 Raw Peak Audit'!$E$2:$E$136,'135 Raw Peak Audit'!$J$2:$J$136),
_xlfn.XLOOKUP(G3,'135 Raw Peak Audit'!$E$2:$E$136,'135 Raw Peak Audit'!$J$2:$J$136),
_xlfn.XLOOKUP(I3,'135 Raw Peak Audit'!$E$2:$E$136,'135 Raw Peak Audit'!$J$2:$J$136)
)))</f>
        <v>E02; E03</v>
      </c>
      <c r="M3" t="str" cm="1">
        <f t="array" ref="M3">_xlfn.LET(
    _xlpm.id,A3,
    _xlpm.start,C3,
    _xlpm.finish,D3,
    _xlpm.rawID,'135 Raw Peak Audit'!$A$2:$A$136,
    _xlpm.rawDate,'135 Raw Peak Audit'!$E$2:$E$136,
    _xlpm.rawSource,'135 Raw Peak Audit'!$J$2:$J$136,
    _xlpm.current,_xlfn.TEXTSPLIT(SUBSTITUTE(L3,"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3" t="str">
        <f t="shared" ref="N3:N46" si="0">_xlfn.CONCAT(L3,IF(M3="","",";"),M3)</f>
        <v>E02; E03</v>
      </c>
      <c r="O3" t="str" cm="1">
        <f t="array" ref="O3">_xlfn.LET(
    _xlpm.events,_xlfn._xlws.FILTER(
        '135 Raw Peak Audit'!$G$2:$G$136,
        ('135 Raw Peak Audit'!$E$2:$E$136&gt;=C3)*
        ('135 Raw Peak Audit'!$E$2:$E$136&lt;=D3)
    ),
    _xlfn.TEXTJOIN("; ",TRUE,_xlfn.UNIQUE(_xlpm.events))
)</f>
        <v>2015 - Paris attacks / French anti-terror response; 2015 - Russia-Turkey confrontation after Russian jet downing</v>
      </c>
    </row>
    <row r="4" spans="1:15" ht="28.8">
      <c r="A4" s="4" t="s">
        <v>12</v>
      </c>
      <c r="B4" s="5">
        <v>44336</v>
      </c>
      <c r="C4" s="5">
        <v>44320</v>
      </c>
      <c r="D4" s="5">
        <v>44354</v>
      </c>
      <c r="E4" s="5">
        <v>44342</v>
      </c>
      <c r="F4" s="4">
        <v>176.61283874511719</v>
      </c>
      <c r="G4" s="5">
        <v>44341</v>
      </c>
      <c r="H4" s="4">
        <v>170.94143676757813</v>
      </c>
      <c r="I4" s="5">
        <v>44337</v>
      </c>
      <c r="J4" s="4">
        <v>165.85250854492188</v>
      </c>
      <c r="K4">
        <f>VLOOKUP(A4,'135 Raw Peak Audit'!$A$1:$I$136,9)</f>
        <v>1</v>
      </c>
      <c r="L4" t="str">
        <f>_xlfn.TEXTJOIN("; ",TRUE,_xlfn.UNIQUE(_xlfn.VSTACK(
_xlfn.XLOOKUP(E4,'135 Raw Peak Audit'!$E$2:$E$136,'135 Raw Peak Audit'!$J$2:$J$136),
_xlfn.XLOOKUP(G4,'135 Raw Peak Audit'!$E$2:$E$136,'135 Raw Peak Audit'!$J$2:$J$136),
_xlfn.XLOOKUP(I4,'135 Raw Peak Audit'!$E$2:$E$136,'135 Raw Peak Audit'!$J$2:$J$136)
)))</f>
        <v>E04</v>
      </c>
      <c r="M4" t="str" cm="1">
        <f t="array" ref="M4">_xlfn.LET(
    _xlpm.id,A4,
    _xlpm.start,C4,
    _xlpm.finish,D4,
    _xlpm.rawID,'135 Raw Peak Audit'!$A$2:$A$136,
    _xlpm.rawDate,'135 Raw Peak Audit'!$E$2:$E$136,
    _xlpm.rawSource,'135 Raw Peak Audit'!$J$2:$J$136,
    _xlpm.current,_xlfn.TEXTSPLIT(SUBSTITUTE(L4,"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>E14</v>
      </c>
      <c r="N4" t="str">
        <f t="shared" si="0"/>
        <v>E04;E14</v>
      </c>
      <c r="O4" t="str" cm="1">
        <f t="array" ref="O4">_xlfn.LET(
    _xlpm.events,_xlfn._xlws.FILTER(
        '135 Raw Peak Audit'!$G$2:$G$136,
        ('135 Raw Peak Audit'!$E$2:$E$136&gt;=C4)*
        ('135 Raw Peak Audit'!$E$2:$E$136&lt;=D4)
    ),
    _xlfn.TEXTJOIN("; ",TRUE,_xlfn.UNIQUE(_xlpm.events))
)</f>
        <v>2021 - Gaza ceasefire / reconstruction aftermath; 2021 - Israel-Gaza fighting</v>
      </c>
    </row>
    <row r="5" spans="1:15" ht="28.8">
      <c r="A5" s="4" t="s">
        <v>13</v>
      </c>
      <c r="B5" s="5">
        <v>45729</v>
      </c>
      <c r="C5" s="5">
        <v>45719</v>
      </c>
      <c r="D5" s="5">
        <v>45747</v>
      </c>
      <c r="E5" s="5">
        <v>45735</v>
      </c>
      <c r="F5" s="4">
        <v>275.09213256835938</v>
      </c>
      <c r="G5" s="5">
        <v>45729</v>
      </c>
      <c r="H5" s="4">
        <v>254.81291198730469</v>
      </c>
      <c r="I5" s="5">
        <v>45720</v>
      </c>
      <c r="J5" s="4">
        <v>253.45268249511719</v>
      </c>
      <c r="K5">
        <f>VLOOKUP(A5,'135 Raw Peak Audit'!$A$1:$I$136,9)</f>
        <v>2</v>
      </c>
      <c r="L5" t="str">
        <f>_xlfn.TEXTJOIN("; ",TRUE,_xlfn.UNIQUE(_xlfn.VSTACK(
_xlfn.XLOOKUP(E5,'135 Raw Peak Audit'!$E$2:$E$136,'135 Raw Peak Audit'!$J$2:$J$136),
_xlfn.XLOOKUP(G5,'135 Raw Peak Audit'!$E$2:$E$136,'135 Raw Peak Audit'!$J$2:$J$136),
_xlfn.XLOOKUP(I5,'135 Raw Peak Audit'!$E$2:$E$136,'135 Raw Peak Audit'!$J$2:$J$136)
)))</f>
        <v>E05; E06</v>
      </c>
      <c r="M5" t="str" cm="1">
        <f t="array" ref="M5">_xlfn.LET(
    _xlpm.id,A5,
    _xlpm.start,C5,
    _xlpm.finish,D5,
    _xlpm.rawID,'135 Raw Peak Audit'!$A$2:$A$136,
    _xlpm.rawDate,'135 Raw Peak Audit'!$E$2:$E$136,
    _xlpm.rawSource,'135 Raw Peak Audit'!$J$2:$J$136,
    _xlpm.current,_xlfn.TEXTSPLIT(SUBSTITUTE(L5,"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5" t="str">
        <f t="shared" si="0"/>
        <v>E05; E06</v>
      </c>
      <c r="O5" t="str" cm="1">
        <f t="array" ref="O5">_xlfn.LET(
    _xlpm.events,_xlfn._xlws.FILTER(
        '135 Raw Peak Audit'!$G$2:$G$136,
        ('135 Raw Peak Audit'!$E$2:$E$136&gt;=C5)*
        ('135 Raw Peak Audit'!$E$2:$E$136&lt;=D5)
    ),
    _xlfn.TEXTJOIN("; ",TRUE,_xlfn.UNIQUE(_xlpm.events))
)</f>
        <v>2025 - Russia-Ukraine ceasefire negotiations / Putin response; 2025 - US suspension of military/intelligence support to Ukraine</v>
      </c>
    </row>
    <row r="6" spans="1:15" ht="28.8">
      <c r="A6" s="4" t="s">
        <v>14</v>
      </c>
      <c r="B6" s="5">
        <v>46091</v>
      </c>
      <c r="C6" s="5">
        <v>46069</v>
      </c>
      <c r="D6" s="5">
        <v>46097</v>
      </c>
      <c r="E6" s="5">
        <v>46085</v>
      </c>
      <c r="F6" s="4">
        <v>465.91864013671875</v>
      </c>
      <c r="G6" s="5">
        <v>46091</v>
      </c>
      <c r="H6" s="4">
        <v>457.110595703125</v>
      </c>
      <c r="I6" s="5">
        <v>46086</v>
      </c>
      <c r="J6" s="4">
        <v>413.3631591796875</v>
      </c>
      <c r="K6">
        <f>VLOOKUP(A6,'135 Raw Peak Audit'!$A$1:$I$136,9)</f>
        <v>1</v>
      </c>
      <c r="L6" t="str">
        <f>_xlfn.TEXTJOIN("; ",TRUE,_xlfn.UNIQUE(_xlfn.VSTACK(
_xlfn.XLOOKUP(E6,'135 Raw Peak Audit'!$E$2:$E$136,'135 Raw Peak Audit'!$J$2:$J$136),
_xlfn.XLOOKUP(G6,'135 Raw Peak Audit'!$E$2:$E$136,'135 Raw Peak Audit'!$J$2:$J$136),
_xlfn.XLOOKUP(I6,'135 Raw Peak Audit'!$E$2:$E$136,'135 Raw Peak Audit'!$J$2:$J$136)
)))</f>
        <v>E07</v>
      </c>
      <c r="M6" t="str" cm="1">
        <f t="array" ref="M6">_xlfn.LET(
    _xlpm.id,A6,
    _xlpm.start,C6,
    _xlpm.finish,D6,
    _xlpm.rawID,'135 Raw Peak Audit'!$A$2:$A$136,
    _xlpm.rawDate,'135 Raw Peak Audit'!$E$2:$E$136,
    _xlpm.rawSource,'135 Raw Peak Audit'!$J$2:$J$136,
    _xlpm.current,_xlfn.TEXTSPLIT(SUBSTITUTE(L6,"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6" t="str">
        <f t="shared" si="0"/>
        <v>E07</v>
      </c>
      <c r="O6" t="str" cm="1">
        <f t="array" ref="O6">_xlfn.LET(
    _xlpm.events,_xlfn._xlws.FILTER(
        '135 Raw Peak Audit'!$G$2:$G$136,
        ('135 Raw Peak Audit'!$E$2:$E$136&gt;=C6)*
        ('135 Raw Peak Audit'!$E$2:$E$136&lt;=D6)
    ),
    _xlfn.TEXTJOIN("; ",TRUE,_xlfn.UNIQUE(_xlpm.events))
)</f>
        <v>2026 - Iran war / Strait of Hormuz and energy disruption</v>
      </c>
    </row>
    <row r="7" spans="1:15" ht="28.8">
      <c r="A7" s="4" t="s">
        <v>15</v>
      </c>
      <c r="B7" s="5">
        <v>42338</v>
      </c>
      <c r="C7" s="5">
        <v>42307</v>
      </c>
      <c r="D7" s="5">
        <v>42355</v>
      </c>
      <c r="E7" s="5">
        <v>42325</v>
      </c>
      <c r="F7" s="4">
        <v>354.0518798828125</v>
      </c>
      <c r="G7" s="5">
        <v>42326</v>
      </c>
      <c r="H7" s="4">
        <v>309.495361328125</v>
      </c>
      <c r="I7" s="5">
        <v>42333</v>
      </c>
      <c r="J7" s="4">
        <v>247.6171875</v>
      </c>
      <c r="K7">
        <f>VLOOKUP(A7,'135 Raw Peak Audit'!$A$1:$I$136,9)</f>
        <v>2</v>
      </c>
      <c r="L7" t="str">
        <f>_xlfn.TEXTJOIN("; ",TRUE,_xlfn.UNIQUE(_xlfn.VSTACK(
_xlfn.XLOOKUP(E7,'135 Raw Peak Audit'!$E$2:$E$136,'135 Raw Peak Audit'!$J$2:$J$136),
_xlfn.XLOOKUP(G7,'135 Raw Peak Audit'!$E$2:$E$136,'135 Raw Peak Audit'!$J$2:$J$136),
_xlfn.XLOOKUP(I7,'135 Raw Peak Audit'!$E$2:$E$136,'135 Raw Peak Audit'!$J$2:$J$136)
)))</f>
        <v>E02; E03</v>
      </c>
      <c r="M7" t="str" cm="1">
        <f t="array" ref="M7">_xlfn.LET(
    _xlpm.id,A7,
    _xlpm.start,C7,
    _xlpm.finish,D7,
    _xlpm.rawID,'135 Raw Peak Audit'!$A$2:$A$136,
    _xlpm.rawDate,'135 Raw Peak Audit'!$E$2:$E$136,
    _xlpm.rawSource,'135 Raw Peak Audit'!$J$2:$J$136,
    _xlpm.current,_xlfn.TEXTSPLIT(SUBSTITUTE(L7,"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>E23; E24</v>
      </c>
      <c r="N7" t="str">
        <f t="shared" si="0"/>
        <v>E02; E03;E23; E24</v>
      </c>
      <c r="O7" t="str" cm="1">
        <f t="array" ref="O7">_xlfn.LET(
    _xlpm.events,_xlfn._xlws.FILTER(
        '135 Raw Peak Audit'!$G$2:$G$136,
        ('135 Raw Peak Audit'!$E$2:$E$136&gt;=C7)*
        ('135 Raw Peak Audit'!$E$2:$E$136&lt;=D7)
    ),
    _xlfn.TEXTJOIN("; ",TRUE,_xlfn.UNIQUE(_xlpm.events))
)</f>
        <v>2015 - Paris attacks / French anti-terror response; 2015 - Russia-Turkey confrontation after Russian jet downing; 2015 - Turkey-PKK military escalation; 2015 - Anti-ISIS military intervention in Syria/Iraq</v>
      </c>
    </row>
    <row r="8" spans="1:15" ht="28.8">
      <c r="A8" s="4" t="s">
        <v>16</v>
      </c>
      <c r="B8" s="5">
        <v>42893</v>
      </c>
      <c r="C8" s="5">
        <v>42874</v>
      </c>
      <c r="D8" s="5">
        <v>42901</v>
      </c>
      <c r="E8" s="5">
        <v>42893</v>
      </c>
      <c r="F8" s="4">
        <v>245.95683288574219</v>
      </c>
      <c r="G8" s="5">
        <v>42892</v>
      </c>
      <c r="H8" s="4">
        <v>227.27735900878906</v>
      </c>
      <c r="I8" s="5">
        <v>42881</v>
      </c>
      <c r="J8" s="4">
        <v>218.0687255859375</v>
      </c>
      <c r="K8">
        <f>VLOOKUP(A8,'135 Raw Peak Audit'!$A$1:$I$136,9)</f>
        <v>2</v>
      </c>
      <c r="L8" t="str">
        <f>_xlfn.TEXTJOIN("; ",TRUE,_xlfn.UNIQUE(_xlfn.VSTACK(
_xlfn.XLOOKUP(E8,'135 Raw Peak Audit'!$E$2:$E$136,'135 Raw Peak Audit'!$J$2:$J$136),
_xlfn.XLOOKUP(G8,'135 Raw Peak Audit'!$E$2:$E$136,'135 Raw Peak Audit'!$J$2:$J$136),
_xlfn.XLOOKUP(I8,'135 Raw Peak Audit'!$E$2:$E$136,'135 Raw Peak Audit'!$J$2:$J$136)
)))</f>
        <v>E08; E09</v>
      </c>
      <c r="M8" t="str" cm="1">
        <f t="array" ref="M8">_xlfn.LET(
    _xlpm.id,A8,
    _xlpm.start,C8,
    _xlpm.finish,D8,
    _xlpm.rawID,'135 Raw Peak Audit'!$A$2:$A$136,
    _xlpm.rawDate,'135 Raw Peak Audit'!$E$2:$E$136,
    _xlpm.rawSource,'135 Raw Peak Audit'!$J$2:$J$136,
    _xlpm.current,_xlfn.TEXTSPLIT(SUBSTITUTE(L8,"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8" t="str">
        <f t="shared" si="0"/>
        <v>E08; E09</v>
      </c>
      <c r="O8" t="str" cm="1">
        <f t="array" ref="O8">_xlfn.LET(
    _xlpm.events,_xlfn._xlws.FILTER(
        '135 Raw Peak Audit'!$G$2:$G$136,
        ('135 Raw Peak Audit'!$E$2:$E$136&gt;=C8)*
        ('135 Raw Peak Audit'!$E$2:$E$136&lt;=D8)
    ),
    _xlfn.TEXTJOIN("; ",TRUE,_xlfn.UNIQUE(_xlpm.events))
)</f>
        <v>2017 - Tehran terrorist attacks; 2017 - Qatar diplomatic crisis / blockade</v>
      </c>
    </row>
    <row r="9" spans="1:15" ht="28.8">
      <c r="A9" s="4" t="s">
        <v>17</v>
      </c>
      <c r="B9" s="5">
        <v>43740</v>
      </c>
      <c r="C9" s="5">
        <v>43728</v>
      </c>
      <c r="D9" s="5">
        <v>43746</v>
      </c>
      <c r="E9" s="5">
        <v>43728</v>
      </c>
      <c r="F9" s="4">
        <v>126.9625244140625</v>
      </c>
      <c r="G9" s="5">
        <v>43733</v>
      </c>
      <c r="H9" s="4">
        <v>124.11428833007813</v>
      </c>
      <c r="I9" s="5">
        <v>43746</v>
      </c>
      <c r="J9" s="4">
        <v>118.77732849121094</v>
      </c>
      <c r="K9">
        <f>VLOOKUP(A9,'135 Raw Peak Audit'!$A$1:$I$136,9)</f>
        <v>2</v>
      </c>
      <c r="L9" t="str">
        <f>_xlfn.TEXTJOIN("; ",TRUE,_xlfn.UNIQUE(_xlfn.VSTACK(
_xlfn.XLOOKUP(E9,'135 Raw Peak Audit'!$E$2:$E$136,'135 Raw Peak Audit'!$J$2:$J$136),
_xlfn.XLOOKUP(G9,'135 Raw Peak Audit'!$E$2:$E$136,'135 Raw Peak Audit'!$J$2:$J$136),
_xlfn.XLOOKUP(I9,'135 Raw Peak Audit'!$E$2:$E$136,'135 Raw Peak Audit'!$J$2:$J$136)
)))</f>
        <v>E10; E11</v>
      </c>
      <c r="M9" t="str" cm="1">
        <f t="array" ref="M9">_xlfn.LET(
    _xlpm.id,A9,
    _xlpm.start,C9,
    _xlpm.finish,D9,
    _xlpm.rawID,'135 Raw Peak Audit'!$A$2:$A$136,
    _xlpm.rawDate,'135 Raw Peak Audit'!$E$2:$E$136,
    _xlpm.rawSource,'135 Raw Peak Audit'!$J$2:$J$136,
    _xlpm.current,_xlfn.TEXTSPLIT(SUBSTITUTE(L9,"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9" t="str">
        <f>_xlfn.CONCAT(L9,IF(M9="","",";"),M9)</f>
        <v>E10; E11</v>
      </c>
      <c r="O9" t="str" cm="1">
        <f t="array" ref="O9">_xlfn.LET(
    _xlpm.events,_xlfn._xlws.FILTER(
        '135 Raw Peak Audit'!$G$2:$G$136,
        ('135 Raw Peak Audit'!$E$2:$E$136&gt;=C9)*
        ('135 Raw Peak Audit'!$E$2:$E$136&lt;=D9)
    ),
    _xlfn.TEXTJOIN("; ",TRUE,_xlfn.UNIQUE(_xlpm.events))
)</f>
        <v>2019 - Saudi-Iran tensions following Aramco attacks; 2019 - Turkey-Syria cross-border offensive</v>
      </c>
    </row>
    <row r="10" spans="1:15" ht="28.8">
      <c r="A10" s="4" t="s">
        <v>18</v>
      </c>
      <c r="B10" s="5">
        <v>45070</v>
      </c>
      <c r="C10" s="5">
        <v>45062</v>
      </c>
      <c r="D10" s="5">
        <v>45077</v>
      </c>
      <c r="E10" s="5">
        <v>45077</v>
      </c>
      <c r="F10" s="4">
        <v>219.58306884765625</v>
      </c>
      <c r="G10" s="5">
        <v>45069</v>
      </c>
      <c r="H10" s="4">
        <v>183.69136047363281</v>
      </c>
      <c r="I10" s="5">
        <v>45065</v>
      </c>
      <c r="J10" s="4">
        <v>160.85305786132813</v>
      </c>
      <c r="K10">
        <f>VLOOKUP(A10,'135 Raw Peak Audit'!$A$1:$I$136,9)</f>
        <v>1</v>
      </c>
      <c r="L10" t="str">
        <f>_xlfn.TEXTJOIN("; ",TRUE,_xlfn.UNIQUE(_xlfn.VSTACK(
_xlfn.XLOOKUP(E10,'135 Raw Peak Audit'!$E$2:$E$136,'135 Raw Peak Audit'!$J$2:$J$136),
_xlfn.XLOOKUP(G10,'135 Raw Peak Audit'!$E$2:$E$136,'135 Raw Peak Audit'!$J$2:$J$136),
_xlfn.XLOOKUP(I10,'135 Raw Peak Audit'!$E$2:$E$136,'135 Raw Peak Audit'!$J$2:$J$136)
)))</f>
        <v>E12</v>
      </c>
      <c r="M10" t="str" cm="1">
        <f t="array" ref="M10">_xlfn.LET(
    _xlpm.id,A10,
    _xlpm.start,C10,
    _xlpm.finish,D10,
    _xlpm.rawID,'135 Raw Peak Audit'!$A$2:$A$136,
    _xlpm.rawDate,'135 Raw Peak Audit'!$E$2:$E$136,
    _xlpm.rawSource,'135 Raw Peak Audit'!$J$2:$J$136,
    _xlpm.current,_xlfn.TEXTSPLIT(SUBSTITUTE(L10,"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10" t="str">
        <f t="shared" si="0"/>
        <v>E12</v>
      </c>
      <c r="O10" t="str" cm="1">
        <f t="array" ref="O10">_xlfn.LET(
    _xlpm.events,_xlfn._xlws.FILTER(
        '135 Raw Peak Audit'!$G$2:$G$136,
        ('135 Raw Peak Audit'!$E$2:$E$136&gt;=C10)*
        ('135 Raw Peak Audit'!$E$2:$E$136&lt;=D10)
    ),
    _xlfn.TEXTJOIN("; ",TRUE,_xlfn.UNIQUE(_xlpm.events))
)</f>
        <v>2023 - Belgorod cross-border incursions / Russia-Ukraine war</v>
      </c>
    </row>
    <row r="11" spans="1:15" ht="28.8">
      <c r="A11" s="4" t="s">
        <v>19</v>
      </c>
      <c r="B11" s="5">
        <v>46098</v>
      </c>
      <c r="C11" s="5">
        <v>46064</v>
      </c>
      <c r="D11" s="5">
        <v>46104</v>
      </c>
      <c r="E11" s="5">
        <v>46085</v>
      </c>
      <c r="F11" s="4">
        <v>465.91864013671875</v>
      </c>
      <c r="G11" s="5">
        <v>46091</v>
      </c>
      <c r="H11" s="4">
        <v>457.110595703125</v>
      </c>
      <c r="I11" s="5">
        <v>46086</v>
      </c>
      <c r="J11" s="4">
        <v>413.3631591796875</v>
      </c>
      <c r="K11">
        <f>VLOOKUP(A11,'135 Raw Peak Audit'!$A$1:$I$136,9)</f>
        <v>1</v>
      </c>
      <c r="L11" t="str">
        <f>_xlfn.TEXTJOIN("; ",TRUE,_xlfn.UNIQUE(_xlfn.VSTACK(
_xlfn.XLOOKUP(E11,'135 Raw Peak Audit'!$E$2:$E$136,'135 Raw Peak Audit'!$J$2:$J$136),
_xlfn.XLOOKUP(G11,'135 Raw Peak Audit'!$E$2:$E$136,'135 Raw Peak Audit'!$J$2:$J$136),
_xlfn.XLOOKUP(I11,'135 Raw Peak Audit'!$E$2:$E$136,'135 Raw Peak Audit'!$J$2:$J$136)
)))</f>
        <v>E07</v>
      </c>
      <c r="M11" t="str" cm="1">
        <f t="array" ref="M11">_xlfn.LET(
    _xlpm.id,A11,
    _xlpm.start,C11,
    _xlpm.finish,D11,
    _xlpm.rawID,'135 Raw Peak Audit'!$A$2:$A$136,
    _xlpm.rawDate,'135 Raw Peak Audit'!$E$2:$E$136,
    _xlpm.rawSource,'135 Raw Peak Audit'!$J$2:$J$136,
    _xlpm.current,_xlfn.TEXTSPLIT(SUBSTITUTE(L11,"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>E36</v>
      </c>
      <c r="N11" t="str">
        <f t="shared" si="0"/>
        <v>E07;E36</v>
      </c>
      <c r="O11" t="str" cm="1">
        <f t="array" ref="O11">_xlfn.LET(
    _xlpm.events,_xlfn._xlws.FILTER(
        '135 Raw Peak Audit'!$G$2:$G$136,
        ('135 Raw Peak Audit'!$E$2:$E$136&gt;=C11)*
        ('135 Raw Peak Audit'!$E$2:$E$136&lt;=D11)
    ),
    _xlfn.TEXTJOIN("; ",TRUE,_xlfn.UNIQUE(_xlpm.events))
)</f>
        <v>2026 - Iran war / Strait of Hormuz and energy disruption; 2026 - Iran war / US-Iran negotiations / Strait of Hormuz</v>
      </c>
    </row>
    <row r="12" spans="1:15" ht="28.8">
      <c r="A12" s="4" t="s">
        <v>20</v>
      </c>
      <c r="B12" s="5">
        <v>44322</v>
      </c>
      <c r="C12" s="5">
        <v>44309</v>
      </c>
      <c r="D12" s="5">
        <v>44334</v>
      </c>
      <c r="E12" s="5">
        <v>44309</v>
      </c>
      <c r="F12" s="4">
        <v>146.73118591308594</v>
      </c>
      <c r="G12" s="5">
        <v>44329</v>
      </c>
      <c r="H12" s="4">
        <v>140.43304443359375</v>
      </c>
      <c r="I12" s="5">
        <v>44330</v>
      </c>
      <c r="J12" s="4">
        <v>115.36304473876953</v>
      </c>
      <c r="K12">
        <f>VLOOKUP(A12,'135 Raw Peak Audit'!$A$1:$I$136,9)</f>
        <v>2</v>
      </c>
      <c r="L12" t="str">
        <f>_xlfn.TEXTJOIN("; ",TRUE,_xlfn.UNIQUE(_xlfn.VSTACK(
_xlfn.XLOOKUP(E12,'135 Raw Peak Audit'!$E$2:$E$136,'135 Raw Peak Audit'!$J$2:$J$136),
_xlfn.XLOOKUP(G12,'135 Raw Peak Audit'!$E$2:$E$136,'135 Raw Peak Audit'!$J$2:$J$136),
_xlfn.XLOOKUP(I12,'135 Raw Peak Audit'!$E$2:$E$136,'135 Raw Peak Audit'!$J$2:$J$136)
)))</f>
        <v>E13; E14</v>
      </c>
      <c r="M12" t="str" cm="1">
        <f t="array" ref="M12">_xlfn.LET(
    _xlpm.id,A12,
    _xlpm.start,C12,
    _xlpm.finish,D12,
    _xlpm.rawID,'135 Raw Peak Audit'!$A$2:$A$136,
    _xlpm.rawDate,'135 Raw Peak Audit'!$E$2:$E$136,
    _xlpm.rawSource,'135 Raw Peak Audit'!$J$2:$J$136,
    _xlpm.current,_xlfn.TEXTSPLIT(SUBSTITUTE(L12,"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12" t="str">
        <f t="shared" si="0"/>
        <v>E13; E14</v>
      </c>
      <c r="O12" t="str" cm="1">
        <f t="array" ref="O12">_xlfn.LET(
    _xlpm.events,_xlfn._xlws.FILTER(
        '135 Raw Peak Audit'!$G$2:$G$136,
        ('135 Raw Peak Audit'!$E$2:$E$136&gt;=C12)*
        ('135 Raw Peak Audit'!$E$2:$E$136&lt;=D12)
    ),
    _xlfn.TEXTJOIN("; ",TRUE,_xlfn.UNIQUE(_xlpm.events))
)</f>
        <v>2021 - Sheikh Jarrah / Jerusalem tensions; 2021 - Israel-Gaza fighting</v>
      </c>
    </row>
    <row r="13" spans="1:15" ht="28.8">
      <c r="A13" s="4" t="s">
        <v>21</v>
      </c>
      <c r="B13" s="5">
        <v>44348</v>
      </c>
      <c r="C13" s="5">
        <v>44334</v>
      </c>
      <c r="D13" s="5">
        <v>44369</v>
      </c>
      <c r="E13" s="5">
        <v>44342</v>
      </c>
      <c r="F13" s="4">
        <v>176.61283874511719</v>
      </c>
      <c r="G13" s="5">
        <v>44341</v>
      </c>
      <c r="H13" s="4">
        <v>170.94143676757813</v>
      </c>
      <c r="I13" s="5">
        <v>44369</v>
      </c>
      <c r="J13" s="4">
        <v>170.60433959960938</v>
      </c>
      <c r="K13">
        <f>VLOOKUP(A13,'135 Raw Peak Audit'!$A$1:$I$136,9)</f>
        <v>1</v>
      </c>
      <c r="L13" t="str">
        <f>_xlfn.TEXTJOIN("; ",TRUE,_xlfn.UNIQUE(_xlfn.VSTACK(
_xlfn.XLOOKUP(E13,'135 Raw Peak Audit'!$E$2:$E$136,'135 Raw Peak Audit'!$J$2:$J$136),
_xlfn.XLOOKUP(G13,'135 Raw Peak Audit'!$E$2:$E$136,'135 Raw Peak Audit'!$J$2:$J$136),
_xlfn.XLOOKUP(I13,'135 Raw Peak Audit'!$E$2:$E$136,'135 Raw Peak Audit'!$J$2:$J$136)
)))</f>
        <v>E04</v>
      </c>
      <c r="M13" t="str" cm="1">
        <f t="array" ref="M13">_xlfn.LET(
    _xlpm.id,A13,
    _xlpm.start,C13,
    _xlpm.finish,D13,
    _xlpm.rawID,'135 Raw Peak Audit'!$A$2:$A$136,
    _xlpm.rawDate,'135 Raw Peak Audit'!$E$2:$E$136,
    _xlpm.rawSource,'135 Raw Peak Audit'!$J$2:$J$136,
    _xlpm.current,_xlfn.TEXTSPLIT(SUBSTITUTE(L13,"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>E14</v>
      </c>
      <c r="N13" t="str">
        <f t="shared" si="0"/>
        <v>E04;E14</v>
      </c>
      <c r="O13" t="str" cm="1">
        <f t="array" ref="O13">_xlfn.LET(
    _xlpm.events,_xlfn._xlws.FILTER(
        '135 Raw Peak Audit'!$G$2:$G$136,
        ('135 Raw Peak Audit'!$E$2:$E$136&gt;=C13)*
        ('135 Raw Peak Audit'!$E$2:$E$136&lt;=D13)
    ),
    _xlfn.TEXTJOIN("; ",TRUE,_xlfn.UNIQUE(_xlpm.events))
)</f>
        <v>2021 - Gaza ceasefire / reconstruction aftermath; 2021 - Israel-Gaza fighting</v>
      </c>
    </row>
    <row r="14" spans="1:15" ht="28.8">
      <c r="A14" s="4" t="s">
        <v>22</v>
      </c>
      <c r="B14" s="5">
        <v>45226</v>
      </c>
      <c r="C14" s="5">
        <v>45215</v>
      </c>
      <c r="D14" s="5">
        <v>45251</v>
      </c>
      <c r="E14" s="5">
        <v>45218</v>
      </c>
      <c r="F14" s="4">
        <v>338.85171508789063</v>
      </c>
      <c r="G14" s="5">
        <v>45217</v>
      </c>
      <c r="H14" s="4">
        <v>333.00942993164063</v>
      </c>
      <c r="I14" s="5">
        <v>45219</v>
      </c>
      <c r="J14" s="4">
        <v>298.62881469726563</v>
      </c>
      <c r="K14">
        <f>VLOOKUP(A14,'135 Raw Peak Audit'!$A$1:$I$136,9)</f>
        <v>1</v>
      </c>
      <c r="L14" t="str">
        <f>_xlfn.TEXTJOIN("; ",TRUE,_xlfn.UNIQUE(_xlfn.VSTACK(
_xlfn.XLOOKUP(E14,'135 Raw Peak Audit'!$E$2:$E$136,'135 Raw Peak Audit'!$J$2:$J$136),
_xlfn.XLOOKUP(G14,'135 Raw Peak Audit'!$E$2:$E$136,'135 Raw Peak Audit'!$J$2:$J$136),
_xlfn.XLOOKUP(I14,'135 Raw Peak Audit'!$E$2:$E$136,'135 Raw Peak Audit'!$J$2:$J$136)
)))</f>
        <v>E15</v>
      </c>
      <c r="M14" t="str" cm="1">
        <f t="array" ref="M14">_xlfn.LET(
    _xlpm.id,A14,
    _xlpm.start,C14,
    _xlpm.finish,D14,
    _xlpm.rawID,'135 Raw Peak Audit'!$A$2:$A$136,
    _xlpm.rawDate,'135 Raw Peak Audit'!$E$2:$E$136,
    _xlpm.rawSource,'135 Raw Peak Audit'!$J$2:$J$136,
    _xlpm.current,_xlfn.TEXTSPLIT(SUBSTITUTE(L14,"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14" t="str">
        <f t="shared" si="0"/>
        <v>E15</v>
      </c>
      <c r="O14" t="str" cm="1">
        <f t="array" ref="O14">_xlfn.LET(
    _xlpm.events,_xlfn._xlws.FILTER(
        '135 Raw Peak Audit'!$G$2:$G$136,
        ('135 Raw Peak Audit'!$E$2:$E$136&gt;=C14)*
        ('135 Raw Peak Audit'!$E$2:$E$136&lt;=D14)
    ),
    _xlfn.TEXTJOIN("; ",TRUE,_xlfn.UNIQUE(_xlpm.events))
)</f>
        <v>2023 - Israel-Hamas war / early Gaza ground and humanitarian crisis</v>
      </c>
    </row>
    <row r="15" spans="1:15" ht="28.8">
      <c r="A15" s="4" t="s">
        <v>23</v>
      </c>
      <c r="B15" s="5">
        <v>45813</v>
      </c>
      <c r="C15" s="5">
        <v>45805</v>
      </c>
      <c r="D15" s="5">
        <v>45821</v>
      </c>
      <c r="E15" s="5">
        <v>45813</v>
      </c>
      <c r="F15" s="4">
        <v>245.16421508789063</v>
      </c>
      <c r="G15" s="5">
        <v>45805</v>
      </c>
      <c r="H15" s="4">
        <v>228.03907775878906</v>
      </c>
      <c r="I15" s="5">
        <v>45811</v>
      </c>
      <c r="J15" s="4">
        <v>205.09330749511719</v>
      </c>
      <c r="K15">
        <f>VLOOKUP(A15,'135 Raw Peak Audit'!$A$1:$I$136,9)</f>
        <v>1</v>
      </c>
      <c r="L15" t="str">
        <f>_xlfn.TEXTJOIN("; ",TRUE,_xlfn.UNIQUE(_xlfn.VSTACK(
_xlfn.XLOOKUP(E15,'135 Raw Peak Audit'!$E$2:$E$136,'135 Raw Peak Audit'!$J$2:$J$136),
_xlfn.XLOOKUP(G15,'135 Raw Peak Audit'!$E$2:$E$136,'135 Raw Peak Audit'!$J$2:$J$136),
_xlfn.XLOOKUP(I15,'135 Raw Peak Audit'!$E$2:$E$136,'135 Raw Peak Audit'!$J$2:$J$136)
)))</f>
        <v>E16</v>
      </c>
      <c r="M15" t="str" cm="1">
        <f t="array" ref="M15">_xlfn.LET(
    _xlpm.id,A15,
    _xlpm.start,C15,
    _xlpm.finish,D15,
    _xlpm.rawID,'135 Raw Peak Audit'!$A$2:$A$136,
    _xlpm.rawDate,'135 Raw Peak Audit'!$E$2:$E$136,
    _xlpm.rawSource,'135 Raw Peak Audit'!$J$2:$J$136,
    _xlpm.current,_xlfn.TEXTSPLIT(SUBSTITUTE(L15,"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15" t="str">
        <f t="shared" si="0"/>
        <v>E16</v>
      </c>
      <c r="O15" t="str" cm="1">
        <f t="array" ref="O15">_xlfn.LET(
    _xlpm.events,_xlfn._xlws.FILTER(
        '135 Raw Peak Audit'!$G$2:$G$136,
        ('135 Raw Peak Audit'!$E$2:$E$136&gt;=C15)*
        ('135 Raw Peak Audit'!$E$2:$E$136&lt;=D15)
    ),
    _xlfn.TEXTJOIN("; ",TRUE,_xlfn.UNIQUE(_xlpm.events))
)</f>
        <v>2025 - Gaza humanitarian aid / distribution crisis</v>
      </c>
    </row>
    <row r="16" spans="1:15" ht="28.8">
      <c r="A16" s="4" t="s">
        <v>24</v>
      </c>
      <c r="B16" s="5">
        <v>46105</v>
      </c>
      <c r="C16" s="5">
        <v>46057</v>
      </c>
      <c r="D16" s="5">
        <v>46155</v>
      </c>
      <c r="E16" s="5">
        <v>46085</v>
      </c>
      <c r="F16" s="4">
        <v>465.91864013671875</v>
      </c>
      <c r="G16" s="5">
        <v>46091</v>
      </c>
      <c r="H16" s="4">
        <v>457.110595703125</v>
      </c>
      <c r="I16" s="5">
        <v>46112</v>
      </c>
      <c r="J16" s="4">
        <v>447.822265625</v>
      </c>
      <c r="K16">
        <f>VLOOKUP(A16,'135 Raw Peak Audit'!$A$1:$I$136,9)</f>
        <v>2</v>
      </c>
      <c r="L16" t="str">
        <f>_xlfn.TEXTJOIN("; ",TRUE,_xlfn.UNIQUE(_xlfn.VSTACK(
_xlfn.XLOOKUP(E16,'135 Raw Peak Audit'!$E$2:$E$136,'135 Raw Peak Audit'!$J$2:$J$136),
_xlfn.XLOOKUP(G16,'135 Raw Peak Audit'!$E$2:$E$136,'135 Raw Peak Audit'!$J$2:$J$136),
_xlfn.XLOOKUP(I16,'135 Raw Peak Audit'!$E$2:$E$136,'135 Raw Peak Audit'!$J$2:$J$136)
)))</f>
        <v>E07; E17</v>
      </c>
      <c r="M16" t="str" cm="1">
        <f t="array" ref="M16">_xlfn.LET(
    _xlpm.id,A16,
    _xlpm.start,C16,
    _xlpm.finish,D16,
    _xlpm.rawID,'135 Raw Peak Audit'!$A$2:$A$136,
    _xlpm.rawDate,'135 Raw Peak Audit'!$E$2:$E$136,
    _xlpm.rawSource,'135 Raw Peak Audit'!$J$2:$J$136,
    _xlpm.current,_xlfn.TEXTSPLIT(SUBSTITUTE(L16,"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>E36</v>
      </c>
      <c r="N16" t="str">
        <f t="shared" si="0"/>
        <v>E07; E17;E36</v>
      </c>
      <c r="O16" t="str" cm="1">
        <f t="array" ref="O16">_xlfn.LET(
    _xlpm.events,_xlfn._xlws.FILTER(
        '135 Raw Peak Audit'!$G$2:$G$136,
        ('135 Raw Peak Audit'!$E$2:$E$136&gt;=C16)*
        ('135 Raw Peak Audit'!$E$2:$E$136&lt;=D16)
    ),
    _xlfn.TEXTJOIN("; ",TRUE,_xlfn.UNIQUE(_xlpm.events))
)</f>
        <v>2026 - Iran war / Strait of Hormuz and energy disruption; 2026 - Iran war / Gulf shipping and Strait of Hormuz; 2026 - Iran war / US-Iran negotiations / Strait of Hormuz</v>
      </c>
    </row>
    <row r="17" spans="1:15" ht="28.8">
      <c r="A17" s="4" t="s">
        <v>25</v>
      </c>
      <c r="B17" s="5">
        <v>42331</v>
      </c>
      <c r="C17" s="5">
        <v>42313</v>
      </c>
      <c r="D17" s="5">
        <v>42338</v>
      </c>
      <c r="E17" s="5">
        <v>42325</v>
      </c>
      <c r="F17" s="4">
        <v>551.20111083984375</v>
      </c>
      <c r="G17" s="5">
        <v>42326</v>
      </c>
      <c r="H17" s="4">
        <v>520.66583251953125</v>
      </c>
      <c r="I17" s="5">
        <v>42333</v>
      </c>
      <c r="J17" s="4">
        <v>394.968017578125</v>
      </c>
      <c r="K17">
        <f>VLOOKUP(A17,'135 Raw Peak Audit'!$A$1:$I$136,9)</f>
        <v>2</v>
      </c>
      <c r="L17" t="str">
        <f>_xlfn.TEXTJOIN("; ",TRUE,_xlfn.UNIQUE(_xlfn.VSTACK(
_xlfn.XLOOKUP(E17,'135 Raw Peak Audit'!$E$2:$E$136,'135 Raw Peak Audit'!$J$2:$J$136),
_xlfn.XLOOKUP(G17,'135 Raw Peak Audit'!$E$2:$E$136,'135 Raw Peak Audit'!$J$2:$J$136),
_xlfn.XLOOKUP(I17,'135 Raw Peak Audit'!$E$2:$E$136,'135 Raw Peak Audit'!$J$2:$J$136)
)))</f>
        <v>E02; E03</v>
      </c>
      <c r="M17" t="str" cm="1">
        <f t="array" ref="M17">_xlfn.LET(
    _xlpm.id,A17,
    _xlpm.start,C17,
    _xlpm.finish,D17,
    _xlpm.rawID,'135 Raw Peak Audit'!$A$2:$A$136,
    _xlpm.rawDate,'135 Raw Peak Audit'!$E$2:$E$136,
    _xlpm.rawSource,'135 Raw Peak Audit'!$J$2:$J$136,
    _xlpm.current,_xlfn.TEXTSPLIT(SUBSTITUTE(L17,"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17" t="str">
        <f t="shared" si="0"/>
        <v>E02; E03</v>
      </c>
      <c r="O17" t="str" cm="1">
        <f t="array" ref="O17">_xlfn.LET(
    _xlpm.events,_xlfn._xlws.FILTER(
        '135 Raw Peak Audit'!$G$2:$G$136,
        ('135 Raw Peak Audit'!$E$2:$E$136&gt;=C17)*
        ('135 Raw Peak Audit'!$E$2:$E$136&lt;=D17)
    ),
    _xlfn.TEXTJOIN("; ",TRUE,_xlfn.UNIQUE(_xlpm.events))
)</f>
        <v>2015 - Paris attacks / French anti-terror response; 2015 - Russia-Turkey confrontation after Russian jet downing</v>
      </c>
    </row>
    <row r="18" spans="1:15" ht="28.8">
      <c r="A18" s="4" t="s">
        <v>26</v>
      </c>
      <c r="B18" s="5">
        <v>43836</v>
      </c>
      <c r="C18" s="5">
        <v>43823</v>
      </c>
      <c r="D18" s="5">
        <v>43857</v>
      </c>
      <c r="E18" s="5">
        <v>43839</v>
      </c>
      <c r="F18" s="4">
        <v>339.62139892578125</v>
      </c>
      <c r="G18" s="5">
        <v>43836</v>
      </c>
      <c r="H18" s="4">
        <v>191.86993662516275</v>
      </c>
      <c r="I18" s="5">
        <v>43840</v>
      </c>
      <c r="J18" s="4">
        <v>166.78642272949219</v>
      </c>
      <c r="K18">
        <f>VLOOKUP(A18,'135 Raw Peak Audit'!$A$1:$I$136,9)</f>
        <v>2</v>
      </c>
      <c r="L18" t="str">
        <f>_xlfn.TEXTJOIN("; ",TRUE,_xlfn.UNIQUE(_xlfn.VSTACK(
_xlfn.XLOOKUP(E18,'135 Raw Peak Audit'!$E$2:$E$136,'135 Raw Peak Audit'!$J$2:$J$136),
_xlfn.XLOOKUP(G18,'135 Raw Peak Audit'!$E$2:$E$136,'135 Raw Peak Audit'!$J$2:$J$136),
_xlfn.XLOOKUP(I18,'135 Raw Peak Audit'!$E$2:$E$136,'135 Raw Peak Audit'!$J$2:$J$136)
)))</f>
        <v>E18; E19</v>
      </c>
      <c r="M18" t="str" cm="1">
        <f t="array" ref="M18">_xlfn.LET(
    _xlpm.id,A18,
    _xlpm.start,C18,
    _xlpm.finish,D18,
    _xlpm.rawID,'135 Raw Peak Audit'!$A$2:$A$136,
    _xlpm.rawDate,'135 Raw Peak Audit'!$E$2:$E$136,
    _xlpm.rawSource,'135 Raw Peak Audit'!$J$2:$J$136,
    _xlpm.current,_xlfn.TEXTSPLIT(SUBSTITUTE(L18,"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18" t="str">
        <f t="shared" si="0"/>
        <v>E18; E19</v>
      </c>
      <c r="O18" t="str" cm="1">
        <f t="array" ref="O18">_xlfn.LET(
    _xlpm.events,_xlfn._xlws.FILTER(
        '135 Raw Peak Audit'!$G$2:$G$136,
        ('135 Raw Peak Audit'!$E$2:$E$136&gt;=C18)*
        ('135 Raw Peak Audit'!$E$2:$E$136&lt;=D18)
    ),
    _xlfn.TEXTJOIN("; ",TRUE,_xlfn.UNIQUE(_xlpm.events))
)</f>
        <v>2020 - Ukrainian airliner downing / US-Iran aftermath; 2020 - US-Iran confrontation after Soleimani killing</v>
      </c>
    </row>
    <row r="19" spans="1:15" ht="28.8">
      <c r="A19" s="4" t="s">
        <v>27</v>
      </c>
      <c r="B19" s="5">
        <v>44336</v>
      </c>
      <c r="C19" s="5">
        <v>44321</v>
      </c>
      <c r="D19" s="5">
        <v>44348</v>
      </c>
      <c r="E19" s="5">
        <v>44329</v>
      </c>
      <c r="F19" s="4">
        <v>131.76544189453125</v>
      </c>
      <c r="G19" s="5">
        <v>44337</v>
      </c>
      <c r="H19" s="4">
        <v>125.12368011474609</v>
      </c>
      <c r="I19" s="5">
        <v>44334</v>
      </c>
      <c r="J19" s="4">
        <v>108.11334991455078</v>
      </c>
      <c r="K19">
        <f>VLOOKUP(A19,'135 Raw Peak Audit'!$A$1:$I$136,9)</f>
        <v>2</v>
      </c>
      <c r="L19" t="str">
        <f>_xlfn.TEXTJOIN("; ",TRUE,_xlfn.UNIQUE(_xlfn.VSTACK(
_xlfn.XLOOKUP(E19,'135 Raw Peak Audit'!$E$2:$E$136,'135 Raw Peak Audit'!$J$2:$J$136),
_xlfn.XLOOKUP(G19,'135 Raw Peak Audit'!$E$2:$E$136,'135 Raw Peak Audit'!$J$2:$J$136),
_xlfn.XLOOKUP(I19,'135 Raw Peak Audit'!$E$2:$E$136,'135 Raw Peak Audit'!$J$2:$J$136)
)))</f>
        <v>E14; E04</v>
      </c>
      <c r="M19" t="str" cm="1">
        <f t="array" ref="M19">_xlfn.LET(
    _xlpm.id,A19,
    _xlpm.start,C19,
    _xlpm.finish,D19,
    _xlpm.rawID,'135 Raw Peak Audit'!$A$2:$A$136,
    _xlpm.rawDate,'135 Raw Peak Audit'!$E$2:$E$136,
    _xlpm.rawSource,'135 Raw Peak Audit'!$J$2:$J$136,
    _xlpm.current,_xlfn.TEXTSPLIT(SUBSTITUTE(L19,"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19" t="str">
        <f t="shared" si="0"/>
        <v>E14; E04</v>
      </c>
      <c r="O19" t="str" cm="1">
        <f t="array" ref="O19">_xlfn.LET(
    _xlpm.events,_xlfn._xlws.FILTER(
        '135 Raw Peak Audit'!$G$2:$G$136,
        ('135 Raw Peak Audit'!$E$2:$E$136&gt;=C19)*
        ('135 Raw Peak Audit'!$E$2:$E$136&lt;=D19)
    ),
    _xlfn.TEXTJOIN("; ",TRUE,_xlfn.UNIQUE(_xlpm.events))
)</f>
        <v>2021 - Gaza ceasefire / reconstruction aftermath; 2021 - Israel-Gaza fighting</v>
      </c>
    </row>
    <row r="20" spans="1:15" ht="28.8">
      <c r="A20" s="4" t="s">
        <v>28</v>
      </c>
      <c r="B20" s="5">
        <v>45729</v>
      </c>
      <c r="C20" s="5">
        <v>45722</v>
      </c>
      <c r="D20" s="5">
        <v>45748</v>
      </c>
      <c r="E20" s="5">
        <v>45734</v>
      </c>
      <c r="F20" s="4">
        <v>271.2662353515625</v>
      </c>
      <c r="G20" s="5">
        <v>45735</v>
      </c>
      <c r="H20" s="4">
        <v>251.39157104492188</v>
      </c>
      <c r="I20" s="5">
        <v>45728</v>
      </c>
      <c r="J20" s="4">
        <v>234.28985595703125</v>
      </c>
      <c r="K20">
        <f>VLOOKUP(A20,'135 Raw Peak Audit'!$A$1:$I$136,9)</f>
        <v>1</v>
      </c>
      <c r="L20" t="str">
        <f>_xlfn.TEXTJOIN("; ",TRUE,_xlfn.UNIQUE(_xlfn.VSTACK(
_xlfn.XLOOKUP(E20,'135 Raw Peak Audit'!$E$2:$E$136,'135 Raw Peak Audit'!$J$2:$J$136),
_xlfn.XLOOKUP(G20,'135 Raw Peak Audit'!$E$2:$E$136,'135 Raw Peak Audit'!$J$2:$J$136),
_xlfn.XLOOKUP(I20,'135 Raw Peak Audit'!$E$2:$E$136,'135 Raw Peak Audit'!$J$2:$J$136)
)))</f>
        <v>E05</v>
      </c>
      <c r="M20" t="str" cm="1">
        <f t="array" ref="M20">_xlfn.LET(
    _xlpm.id,A20,
    _xlpm.start,C20,
    _xlpm.finish,D20,
    _xlpm.rawID,'135 Raw Peak Audit'!$A$2:$A$136,
    _xlpm.rawDate,'135 Raw Peak Audit'!$E$2:$E$136,
    _xlpm.rawSource,'135 Raw Peak Audit'!$J$2:$J$136,
    _xlpm.current,_xlfn.TEXTSPLIT(SUBSTITUTE(L20,"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20" t="str">
        <f t="shared" si="0"/>
        <v>E05</v>
      </c>
      <c r="O20" t="str" cm="1">
        <f t="array" ref="O20">_xlfn.LET(
    _xlpm.events,_xlfn._xlws.FILTER(
        '135 Raw Peak Audit'!$G$2:$G$136,
        ('135 Raw Peak Audit'!$E$2:$E$136&gt;=C20)*
        ('135 Raw Peak Audit'!$E$2:$E$136&lt;=D20)
    ),
    _xlfn.TEXTJOIN("; ",TRUE,_xlfn.UNIQUE(_xlpm.events))
)</f>
        <v>2025 - Russia-Ukraine ceasefire negotiations / Putin response</v>
      </c>
    </row>
    <row r="21" spans="1:15" ht="28.8">
      <c r="A21" s="4" t="s">
        <v>29</v>
      </c>
      <c r="B21" s="5">
        <v>45832</v>
      </c>
      <c r="C21" s="5">
        <v>45819</v>
      </c>
      <c r="D21" s="5">
        <v>45841</v>
      </c>
      <c r="E21" s="5">
        <v>45831</v>
      </c>
      <c r="F21" s="4">
        <v>352.00847880045575</v>
      </c>
      <c r="G21" s="5">
        <v>45828</v>
      </c>
      <c r="H21" s="4">
        <v>345.27322387695313</v>
      </c>
      <c r="I21" s="5">
        <v>45832</v>
      </c>
      <c r="J21" s="4">
        <v>318.76171875</v>
      </c>
      <c r="K21">
        <f>VLOOKUP(A21,'135 Raw Peak Audit'!$A$1:$I$136,9)</f>
        <v>1</v>
      </c>
      <c r="L21" t="str">
        <f>_xlfn.TEXTJOIN("; ",TRUE,_xlfn.UNIQUE(_xlfn.VSTACK(
_xlfn.XLOOKUP(E21,'135 Raw Peak Audit'!$E$2:$E$136,'135 Raw Peak Audit'!$J$2:$J$136),
_xlfn.XLOOKUP(G21,'135 Raw Peak Audit'!$E$2:$E$136,'135 Raw Peak Audit'!$J$2:$J$136),
_xlfn.XLOOKUP(I21,'135 Raw Peak Audit'!$E$2:$E$136,'135 Raw Peak Audit'!$J$2:$J$136)
)))</f>
        <v>E20</v>
      </c>
      <c r="M21" t="str" cm="1">
        <f t="array" ref="M21">_xlfn.LET(
    _xlpm.id,A21,
    _xlpm.start,C21,
    _xlpm.finish,D21,
    _xlpm.rawID,'135 Raw Peak Audit'!$A$2:$A$136,
    _xlpm.rawDate,'135 Raw Peak Audit'!$E$2:$E$136,
    _xlpm.rawSource,'135 Raw Peak Audit'!$J$2:$J$136,
    _xlpm.current,_xlfn.TEXTSPLIT(SUBSTITUTE(L21,"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21" t="str">
        <f t="shared" si="0"/>
        <v>E20</v>
      </c>
      <c r="O21" t="str" cm="1">
        <f t="array" ref="O21">_xlfn.LET(
    _xlpm.events,_xlfn._xlws.FILTER(
        '135 Raw Peak Audit'!$G$2:$G$136,
        ('135 Raw Peak Audit'!$E$2:$E$136&gt;=C21)*
        ('135 Raw Peak Audit'!$E$2:$E$136&lt;=D21)
    ),
    _xlfn.TEXTJOIN("; ",TRUE,_xlfn.UNIQUE(_xlpm.events))
)</f>
        <v>2025 - Israel-Iran war / US intervention / ceasefire</v>
      </c>
    </row>
    <row r="22" spans="1:15" ht="28.8">
      <c r="A22" s="4" t="s">
        <v>30</v>
      </c>
      <c r="B22" s="5">
        <v>42338</v>
      </c>
      <c r="C22" s="5">
        <v>42306</v>
      </c>
      <c r="D22" s="5">
        <v>42374</v>
      </c>
      <c r="E22" s="5">
        <v>42325</v>
      </c>
      <c r="F22" s="4">
        <v>551.20111083984375</v>
      </c>
      <c r="G22" s="5">
        <v>42326</v>
      </c>
      <c r="H22" s="4">
        <v>520.66583251953125</v>
      </c>
      <c r="I22" s="5">
        <v>42333</v>
      </c>
      <c r="J22" s="4">
        <v>394.968017578125</v>
      </c>
      <c r="K22">
        <f>VLOOKUP(A22,'135 Raw Peak Audit'!$A$1:$I$136,9)</f>
        <v>2</v>
      </c>
      <c r="L22" t="str">
        <f>_xlfn.TEXTJOIN("; ",TRUE,_xlfn.UNIQUE(_xlfn.VSTACK(
_xlfn.XLOOKUP(E22,'135 Raw Peak Audit'!$E$2:$E$136,'135 Raw Peak Audit'!$J$2:$J$136),
_xlfn.XLOOKUP(G22,'135 Raw Peak Audit'!$E$2:$E$136,'135 Raw Peak Audit'!$J$2:$J$136),
_xlfn.XLOOKUP(I22,'135 Raw Peak Audit'!$E$2:$E$136,'135 Raw Peak Audit'!$J$2:$J$136)
)))</f>
        <v>E02; E03</v>
      </c>
      <c r="M22" t="str" cm="1">
        <f t="array" ref="M22">_xlfn.LET(
    _xlpm.id,A22,
    _xlpm.start,C22,
    _xlpm.finish,D22,
    _xlpm.rawID,'135 Raw Peak Audit'!$A$2:$A$136,
    _xlpm.rawDate,'135 Raw Peak Audit'!$E$2:$E$136,
    _xlpm.rawSource,'135 Raw Peak Audit'!$J$2:$J$136,
    _xlpm.current,_xlfn.TEXTSPLIT(SUBSTITUTE(L22,"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>E23; E24; E28</v>
      </c>
      <c r="N22" t="str">
        <f t="shared" si="0"/>
        <v>E02; E03;E23; E24; E28</v>
      </c>
      <c r="O22" t="str" cm="1">
        <f t="array" ref="O22">_xlfn.LET(
    _xlpm.events,_xlfn._xlws.FILTER(
        '135 Raw Peak Audit'!$G$2:$G$136,
        ('135 Raw Peak Audit'!$E$2:$E$136&gt;=C22)*
        ('135 Raw Peak Audit'!$E$2:$E$136&lt;=D22)
    ),
    _xlfn.TEXTJOIN("; ",TRUE,_xlfn.UNIQUE(_xlpm.events))
)</f>
        <v>2015 - Paris attacks / French anti-terror response; 2015 - Russia-Turkey confrontation after Russian jet downing; 2015 - Turkey-PKK military escalation; 2015 - Anti-ISIS military intervention in Syria/Iraq; 2016 - North Korea nuclear test</v>
      </c>
    </row>
    <row r="23" spans="1:15" ht="28.8">
      <c r="A23" s="4" t="s">
        <v>31</v>
      </c>
      <c r="B23" s="5">
        <v>42717</v>
      </c>
      <c r="C23" s="5">
        <v>42706</v>
      </c>
      <c r="D23" s="5">
        <v>42723</v>
      </c>
      <c r="E23" s="5">
        <v>42711</v>
      </c>
      <c r="F23" s="4">
        <v>151.83316040039063</v>
      </c>
      <c r="G23" s="5">
        <v>42718</v>
      </c>
      <c r="H23" s="4">
        <v>147.47431945800781</v>
      </c>
      <c r="I23" s="5">
        <v>42717</v>
      </c>
      <c r="J23" s="4">
        <v>136.64984130859375</v>
      </c>
      <c r="K23">
        <f>VLOOKUP(A23,'135 Raw Peak Audit'!$A$1:$I$136,9)</f>
        <v>1</v>
      </c>
      <c r="L23" t="str">
        <f>_xlfn.TEXTJOIN("; ",TRUE,_xlfn.UNIQUE(_xlfn.VSTACK(
_xlfn.XLOOKUP(E23,'135 Raw Peak Audit'!$E$2:$E$136,'135 Raw Peak Audit'!$J$2:$J$136),
_xlfn.XLOOKUP(G23,'135 Raw Peak Audit'!$E$2:$E$136,'135 Raw Peak Audit'!$J$2:$J$136),
_xlfn.XLOOKUP(I23,'135 Raw Peak Audit'!$E$2:$E$136,'135 Raw Peak Audit'!$J$2:$J$136)
)))</f>
        <v>E21</v>
      </c>
      <c r="M23" t="str" cm="1">
        <f t="array" ref="M23">_xlfn.LET(
    _xlpm.id,A23,
    _xlpm.start,C23,
    _xlpm.finish,D23,
    _xlpm.rawID,'135 Raw Peak Audit'!$A$2:$A$136,
    _xlpm.rawDate,'135 Raw Peak Audit'!$E$2:$E$136,
    _xlpm.rawSource,'135 Raw Peak Audit'!$J$2:$J$136,
    _xlpm.current,_xlfn.TEXTSPLIT(SUBSTITUTE(L23,"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23" t="str">
        <f t="shared" si="0"/>
        <v>E21</v>
      </c>
      <c r="O23" t="str" cm="1">
        <f t="array" ref="O23">_xlfn.LET(
    _xlpm.events,_xlfn._xlws.FILTER(
        '135 Raw Peak Audit'!$G$2:$G$136,
        ('135 Raw Peak Audit'!$E$2:$E$136&gt;=C23)*
        ('135 Raw Peak Audit'!$E$2:$E$136&lt;=D23)
    ),
    _xlfn.TEXTJOIN("; ",TRUE,_xlfn.UNIQUE(_xlpm.events))
)</f>
        <v>2016 - Battle of Aleppo / evacuation crisis</v>
      </c>
    </row>
    <row r="24" spans="1:15" ht="28.8">
      <c r="A24" s="4" t="s">
        <v>32</v>
      </c>
      <c r="B24" s="5">
        <v>42893</v>
      </c>
      <c r="C24" s="5">
        <v>42874</v>
      </c>
      <c r="D24" s="5">
        <v>42915</v>
      </c>
      <c r="E24" s="5">
        <v>42892</v>
      </c>
      <c r="F24" s="4">
        <v>339.86666870117188</v>
      </c>
      <c r="G24" s="5">
        <v>42893</v>
      </c>
      <c r="H24" s="4">
        <v>333.8890380859375</v>
      </c>
      <c r="I24" s="5">
        <v>42881</v>
      </c>
      <c r="J24" s="4">
        <v>289.86331176757813</v>
      </c>
      <c r="K24">
        <f>VLOOKUP(A24,'135 Raw Peak Audit'!$A$1:$I$136,9)</f>
        <v>2</v>
      </c>
      <c r="L24" t="str">
        <f>_xlfn.TEXTJOIN("; ",TRUE,_xlfn.UNIQUE(_xlfn.VSTACK(
_xlfn.XLOOKUP(E24,'135 Raw Peak Audit'!$E$2:$E$136,'135 Raw Peak Audit'!$J$2:$J$136),
_xlfn.XLOOKUP(G24,'135 Raw Peak Audit'!$E$2:$E$136,'135 Raw Peak Audit'!$J$2:$J$136),
_xlfn.XLOOKUP(I24,'135 Raw Peak Audit'!$E$2:$E$136,'135 Raw Peak Audit'!$J$2:$J$136)
)))</f>
        <v>E09; E08</v>
      </c>
      <c r="M24" t="str" cm="1">
        <f t="array" ref="M24">_xlfn.LET(
    _xlpm.id,A24,
    _xlpm.start,C24,
    _xlpm.finish,D24,
    _xlpm.rawID,'135 Raw Peak Audit'!$A$2:$A$136,
    _xlpm.rawDate,'135 Raw Peak Audit'!$E$2:$E$136,
    _xlpm.rawSource,'135 Raw Peak Audit'!$J$2:$J$136,
    _xlpm.current,_xlfn.TEXTSPLIT(SUBSTITUTE(L24,"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24" t="str">
        <f t="shared" si="0"/>
        <v>E09; E08</v>
      </c>
      <c r="O24" t="str" cm="1">
        <f t="array" ref="O24">_xlfn.LET(
    _xlpm.events,_xlfn._xlws.FILTER(
        '135 Raw Peak Audit'!$G$2:$G$136,
        ('135 Raw Peak Audit'!$E$2:$E$136&gt;=C24)*
        ('135 Raw Peak Audit'!$E$2:$E$136&lt;=D24)
    ),
    _xlfn.TEXTJOIN("; ",TRUE,_xlfn.UNIQUE(_xlpm.events))
)</f>
        <v>2017 - Tehran terrorist attacks; 2017 - Qatar diplomatic crisis / blockade</v>
      </c>
    </row>
    <row r="25" spans="1:15" ht="28.8">
      <c r="A25" s="4" t="s">
        <v>33</v>
      </c>
      <c r="B25" s="5">
        <v>45722</v>
      </c>
      <c r="C25" s="5">
        <v>45707</v>
      </c>
      <c r="D25" s="5">
        <v>45733</v>
      </c>
      <c r="E25" s="5">
        <v>45708</v>
      </c>
      <c r="F25" s="4">
        <v>336.85391235351563</v>
      </c>
      <c r="G25" s="5">
        <v>45728</v>
      </c>
      <c r="H25" s="4">
        <v>234.28985595703125</v>
      </c>
      <c r="I25" s="5">
        <v>45714</v>
      </c>
      <c r="J25" s="4">
        <v>233.10856628417969</v>
      </c>
      <c r="K25">
        <f>VLOOKUP(A25,'135 Raw Peak Audit'!$A$1:$I$136,9)</f>
        <v>1</v>
      </c>
      <c r="L25" t="str">
        <f>_xlfn.TEXTJOIN("; ",TRUE,_xlfn.UNIQUE(_xlfn.VSTACK(
_xlfn.XLOOKUP(E25,'135 Raw Peak Audit'!$E$2:$E$136,'135 Raw Peak Audit'!$J$2:$J$136),
_xlfn.XLOOKUP(G25,'135 Raw Peak Audit'!$E$2:$E$136,'135 Raw Peak Audit'!$J$2:$J$136),
_xlfn.XLOOKUP(I25,'135 Raw Peak Audit'!$E$2:$E$136,'135 Raw Peak Audit'!$J$2:$J$136)
)))</f>
        <v>E05</v>
      </c>
      <c r="M25" t="str" cm="1">
        <f t="array" ref="M25">_xlfn.LET(
    _xlpm.id,A25,
    _xlpm.start,C25,
    _xlpm.finish,D25,
    _xlpm.rawID,'135 Raw Peak Audit'!$A$2:$A$136,
    _xlpm.rawDate,'135 Raw Peak Audit'!$E$2:$E$136,
    _xlpm.rawSource,'135 Raw Peak Audit'!$J$2:$J$136,
    _xlpm.current,_xlfn.TEXTSPLIT(SUBSTITUTE(L25,"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>E06</v>
      </c>
      <c r="N25" t="str">
        <f t="shared" si="0"/>
        <v>E05;E06</v>
      </c>
      <c r="O25" t="str" cm="1">
        <f t="array" ref="O25">_xlfn.LET(
    _xlpm.events,_xlfn._xlws.FILTER(
        '135 Raw Peak Audit'!$G$2:$G$136,
        ('135 Raw Peak Audit'!$E$2:$E$136&gt;=C25)*
        ('135 Raw Peak Audit'!$E$2:$E$136&lt;=D25)
    ),
    _xlfn.TEXTJOIN("; ",TRUE,_xlfn.UNIQUE(_xlpm.events))
)</f>
        <v>2025 - Russia-Ukraine ceasefire negotiations / Putin response; 2025 - US suspension of military/intelligence support to Ukraine</v>
      </c>
    </row>
    <row r="26" spans="1:15" ht="28.8">
      <c r="A26" s="4" t="s">
        <v>34</v>
      </c>
      <c r="B26" s="5">
        <v>46098</v>
      </c>
      <c r="C26" s="5">
        <v>46065</v>
      </c>
      <c r="D26" s="5">
        <v>46101</v>
      </c>
      <c r="E26" s="5">
        <v>46091</v>
      </c>
      <c r="F26" s="4">
        <v>627.33221435546875</v>
      </c>
      <c r="G26" s="5">
        <v>46085</v>
      </c>
      <c r="H26" s="4">
        <v>611.76007080078125</v>
      </c>
      <c r="I26" s="5">
        <v>46098</v>
      </c>
      <c r="J26" s="4">
        <v>574.325439453125</v>
      </c>
      <c r="K26">
        <f>VLOOKUP(A26,'135 Raw Peak Audit'!$A$1:$I$136,9)</f>
        <v>1</v>
      </c>
      <c r="L26" t="str">
        <f>_xlfn.TEXTJOIN("; ",TRUE,_xlfn.UNIQUE(_xlfn.VSTACK(
_xlfn.XLOOKUP(E26,'135 Raw Peak Audit'!$E$2:$E$136,'135 Raw Peak Audit'!$J$2:$J$136),
_xlfn.XLOOKUP(G26,'135 Raw Peak Audit'!$E$2:$E$136,'135 Raw Peak Audit'!$J$2:$J$136),
_xlfn.XLOOKUP(I26,'135 Raw Peak Audit'!$E$2:$E$136,'135 Raw Peak Audit'!$J$2:$J$136)
)))</f>
        <v>E07</v>
      </c>
      <c r="M26" t="str" cm="1">
        <f t="array" ref="M26">_xlfn.LET(
    _xlpm.id,A26,
    _xlpm.start,C26,
    _xlpm.finish,D26,
    _xlpm.rawID,'135 Raw Peak Audit'!$A$2:$A$136,
    _xlpm.rawDate,'135 Raw Peak Audit'!$E$2:$E$136,
    _xlpm.rawSource,'135 Raw Peak Audit'!$J$2:$J$136,
    _xlpm.current,_xlfn.TEXTSPLIT(SUBSTITUTE(L26,"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>E36</v>
      </c>
      <c r="N26" t="str">
        <f t="shared" si="0"/>
        <v>E07;E36</v>
      </c>
      <c r="O26" t="str" cm="1">
        <f t="array" ref="O26">_xlfn.LET(
    _xlpm.events,_xlfn._xlws.FILTER(
        '135 Raw Peak Audit'!$G$2:$G$136,
        ('135 Raw Peak Audit'!$E$2:$E$136&gt;=C26)*
        ('135 Raw Peak Audit'!$E$2:$E$136&lt;=D26)
    ),
    _xlfn.TEXTJOIN("; ",TRUE,_xlfn.UNIQUE(_xlpm.events))
)</f>
        <v>2026 - Iran war / Strait of Hormuz and energy disruption; 2026 - Iran war / US-Iran negotiations / Strait of Hormuz</v>
      </c>
    </row>
    <row r="27" spans="1:15" ht="28.8">
      <c r="A27" s="4" t="s">
        <v>35</v>
      </c>
      <c r="B27" s="5">
        <v>42033</v>
      </c>
      <c r="C27" s="5">
        <v>42024</v>
      </c>
      <c r="D27" s="5">
        <v>42061</v>
      </c>
      <c r="E27" s="5">
        <v>42024</v>
      </c>
      <c r="F27" s="4">
        <v>250.92645263671875</v>
      </c>
      <c r="G27" s="5">
        <v>42032</v>
      </c>
      <c r="H27" s="4">
        <v>197.54106140136719</v>
      </c>
      <c r="I27" s="5">
        <v>42038</v>
      </c>
      <c r="J27" s="4">
        <v>190.78347778320313</v>
      </c>
      <c r="K27">
        <f>VLOOKUP(A27,'135 Raw Peak Audit'!$A$1:$I$136,9)</f>
        <v>1</v>
      </c>
      <c r="L27" t="str">
        <f>_xlfn.TEXTJOIN("; ",TRUE,_xlfn.UNIQUE(_xlfn.VSTACK(
_xlfn.XLOOKUP(E27,'135 Raw Peak Audit'!$E$2:$E$136,'135 Raw Peak Audit'!$J$2:$J$136),
_xlfn.XLOOKUP(G27,'135 Raw Peak Audit'!$E$2:$E$136,'135 Raw Peak Audit'!$J$2:$J$136),
_xlfn.XLOOKUP(I27,'135 Raw Peak Audit'!$E$2:$E$136,'135 Raw Peak Audit'!$J$2:$J$136)
)))</f>
        <v>E22</v>
      </c>
      <c r="M27" t="str" cm="1">
        <f t="array" ref="M27">_xlfn.LET(
    _xlpm.id,A27,
    _xlpm.start,C27,
    _xlpm.finish,D27,
    _xlpm.rawID,'135 Raw Peak Audit'!$A$2:$A$136,
    _xlpm.rawDate,'135 Raw Peak Audit'!$E$2:$E$136,
    _xlpm.rawSource,'135 Raw Peak Audit'!$J$2:$J$136,
    _xlpm.current,_xlfn.TEXTSPLIT(SUBSTITUTE(L27,"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27" t="str">
        <f t="shared" si="0"/>
        <v>E22</v>
      </c>
      <c r="O27" t="str" cm="1">
        <f t="array" ref="O27">_xlfn.LET(
    _xlpm.events,_xlfn._xlws.FILTER(
        '135 Raw Peak Audit'!$G$2:$G$136,
        ('135 Raw Peak Audit'!$E$2:$E$136&gt;=C27)*
        ('135 Raw Peak Audit'!$E$2:$E$136&lt;=D27)
    ),
    _xlfn.TEXTJOIN("; ",TRUE,_xlfn.UNIQUE(_xlpm.events))
)</f>
        <v>2015 - Debaltseve / Donbas fighting</v>
      </c>
    </row>
    <row r="28" spans="1:15" ht="28.8">
      <c r="A28" s="4" t="s">
        <v>36</v>
      </c>
      <c r="B28" s="5">
        <v>42345</v>
      </c>
      <c r="C28" s="5">
        <v>42339</v>
      </c>
      <c r="D28" s="5">
        <v>42360</v>
      </c>
      <c r="E28" s="5">
        <v>42346</v>
      </c>
      <c r="F28" s="4">
        <v>298.46502685546875</v>
      </c>
      <c r="G28" s="5">
        <v>42345</v>
      </c>
      <c r="H28" s="4">
        <v>267.24652608235675</v>
      </c>
      <c r="I28" s="5">
        <v>42340</v>
      </c>
      <c r="J28" s="4">
        <v>265.28744506835938</v>
      </c>
      <c r="K28">
        <f>VLOOKUP(A28,'135 Raw Peak Audit'!$A$1:$I$136,9)</f>
        <v>2</v>
      </c>
      <c r="L28" t="str">
        <f>_xlfn.TEXTJOIN("; ",TRUE,_xlfn.UNIQUE(_xlfn.VSTACK(
_xlfn.XLOOKUP(E28,'135 Raw Peak Audit'!$E$2:$E$136,'135 Raw Peak Audit'!$J$2:$J$136),
_xlfn.XLOOKUP(G28,'135 Raw Peak Audit'!$E$2:$E$136,'135 Raw Peak Audit'!$J$2:$J$136),
_xlfn.XLOOKUP(I28,'135 Raw Peak Audit'!$E$2:$E$136,'135 Raw Peak Audit'!$J$2:$J$136)
)))</f>
        <v>E23; E24</v>
      </c>
      <c r="M28" t="str" cm="1">
        <f t="array" ref="M28">_xlfn.LET(
    _xlpm.id,A28,
    _xlpm.start,C28,
    _xlpm.finish,D28,
    _xlpm.rawID,'135 Raw Peak Audit'!$A$2:$A$136,
    _xlpm.rawDate,'135 Raw Peak Audit'!$E$2:$E$136,
    _xlpm.rawSource,'135 Raw Peak Audit'!$J$2:$J$136,
    _xlpm.current,_xlfn.TEXTSPLIT(SUBSTITUTE(L28,"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28" t="str">
        <f t="shared" si="0"/>
        <v>E23; E24</v>
      </c>
      <c r="O28" t="str" cm="1">
        <f t="array" ref="O28">_xlfn.LET(
    _xlpm.events,_xlfn._xlws.FILTER(
        '135 Raw Peak Audit'!$G$2:$G$136,
        ('135 Raw Peak Audit'!$E$2:$E$136&gt;=C28)*
        ('135 Raw Peak Audit'!$E$2:$E$136&lt;=D28)
    ),
    _xlfn.TEXTJOIN("; ",TRUE,_xlfn.UNIQUE(_xlpm.events))
)</f>
        <v>2015 - Turkey-PKK military escalation; 2015 - Anti-ISIS military intervention in Syria/Iraq</v>
      </c>
    </row>
    <row r="29" spans="1:15" ht="28.8">
      <c r="A29" s="4" t="s">
        <v>37</v>
      </c>
      <c r="B29" s="5">
        <v>42748</v>
      </c>
      <c r="C29" s="5">
        <v>42739</v>
      </c>
      <c r="D29" s="5">
        <v>42754</v>
      </c>
      <c r="E29" s="5">
        <v>42746</v>
      </c>
      <c r="F29" s="4">
        <v>166.58845520019531</v>
      </c>
      <c r="G29" s="5">
        <v>42752</v>
      </c>
      <c r="H29" s="4">
        <v>122.72325897216797</v>
      </c>
      <c r="I29" s="5">
        <v>42753</v>
      </c>
      <c r="J29" s="4">
        <v>120.76181793212891</v>
      </c>
      <c r="K29">
        <f>VLOOKUP(A29,'135 Raw Peak Audit'!$A$1:$I$136,9)</f>
        <v>2</v>
      </c>
      <c r="L29" t="str">
        <f>_xlfn.TEXTJOIN("; ",TRUE,_xlfn.UNIQUE(_xlfn.VSTACK(
_xlfn.XLOOKUP(E29,'135 Raw Peak Audit'!$E$2:$E$136,'135 Raw Peak Audit'!$J$2:$J$136),
_xlfn.XLOOKUP(G29,'135 Raw Peak Audit'!$E$2:$E$136,'135 Raw Peak Audit'!$J$2:$J$136),
_xlfn.XLOOKUP(I29,'135 Raw Peak Audit'!$E$2:$E$136,'135 Raw Peak Audit'!$J$2:$J$136)
)))</f>
        <v>E25; E26</v>
      </c>
      <c r="M29" t="str" cm="1">
        <f t="array" ref="M29">_xlfn.LET(
    _xlpm.id,A29,
    _xlpm.start,C29,
    _xlpm.finish,D29,
    _xlpm.rawID,'135 Raw Peak Audit'!$A$2:$A$136,
    _xlpm.rawDate,'135 Raw Peak Audit'!$E$2:$E$136,
    _xlpm.rawSource,'135 Raw Peak Audit'!$J$2:$J$136,
    _xlpm.current,_xlfn.TEXTSPLIT(SUBSTITUTE(L29,"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29" t="str">
        <f t="shared" si="0"/>
        <v>E25; E26</v>
      </c>
      <c r="O29" t="str" cm="1">
        <f t="array" ref="O29">_xlfn.LET(
    _xlpm.events,_xlfn._xlws.FILTER(
        '135 Raw Peak Audit'!$G$2:$G$136,
        ('135 Raw Peak Audit'!$E$2:$E$136&gt;=C29)*
        ('135 Raw Peak Audit'!$E$2:$E$136&lt;=D29)
    ),
    _xlfn.TEXTJOIN("; ",TRUE,_xlfn.UNIQUE(_xlpm.events))
)</f>
        <v>2017 - Israel-Syria military confrontation near Damascus; 2017 - Islamic State offensive around Deir ez-Zor</v>
      </c>
    </row>
    <row r="30" spans="1:15" ht="28.8">
      <c r="A30" s="4" t="s">
        <v>38</v>
      </c>
      <c r="B30" s="5">
        <v>43532</v>
      </c>
      <c r="C30" s="5">
        <v>43514</v>
      </c>
      <c r="D30" s="5">
        <v>43539</v>
      </c>
      <c r="E30" s="5">
        <v>43524</v>
      </c>
      <c r="F30" s="4">
        <v>153.59866333007813</v>
      </c>
      <c r="G30" s="5">
        <v>43516</v>
      </c>
      <c r="H30" s="4">
        <v>124.22712707519531</v>
      </c>
      <c r="I30" s="5">
        <v>43523</v>
      </c>
      <c r="J30" s="4">
        <v>117.94183349609375</v>
      </c>
      <c r="K30">
        <f>VLOOKUP(A30,'135 Raw Peak Audit'!$A$1:$I$136,9)</f>
        <v>1</v>
      </c>
      <c r="L30" t="str">
        <f>_xlfn.TEXTJOIN("; ",TRUE,_xlfn.UNIQUE(_xlfn.VSTACK(
_xlfn.XLOOKUP(E30,'135 Raw Peak Audit'!$E$2:$E$136,'135 Raw Peak Audit'!$J$2:$J$136),
_xlfn.XLOOKUP(G30,'135 Raw Peak Audit'!$E$2:$E$136,'135 Raw Peak Audit'!$J$2:$J$136),
_xlfn.XLOOKUP(I30,'135 Raw Peak Audit'!$E$2:$E$136,'135 Raw Peak Audit'!$J$2:$J$136)
)))</f>
        <v>E27</v>
      </c>
      <c r="M30" t="str" cm="1">
        <f t="array" ref="M30">_xlfn.LET(
    _xlpm.id,A30,
    _xlpm.start,C30,
    _xlpm.finish,D30,
    _xlpm.rawID,'135 Raw Peak Audit'!$A$2:$A$136,
    _xlpm.rawDate,'135 Raw Peak Audit'!$E$2:$E$136,
    _xlpm.rawSource,'135 Raw Peak Audit'!$J$2:$J$136,
    _xlpm.current,_xlfn.TEXTSPLIT(SUBSTITUTE(L30,"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30" t="str">
        <f t="shared" si="0"/>
        <v>E27</v>
      </c>
      <c r="O30" t="str" cm="1">
        <f t="array" ref="O30">_xlfn.LET(
    _xlpm.events,_xlfn._xlws.FILTER(
        '135 Raw Peak Audit'!$G$2:$G$136,
        ('135 Raw Peak Audit'!$E$2:$E$136&gt;=C30)*
        ('135 Raw Peak Audit'!$E$2:$E$136&lt;=D30)
    ),
    _xlfn.TEXTJOIN("; ",TRUE,_xlfn.UNIQUE(_xlpm.events))
)</f>
        <v>2019 - India-Pakistan Balakot / aerial confrontation</v>
      </c>
    </row>
    <row r="31" spans="1:15" ht="28.8">
      <c r="A31" s="4" t="s">
        <v>39</v>
      </c>
      <c r="B31" s="5">
        <v>46105</v>
      </c>
      <c r="C31" s="5">
        <v>46057</v>
      </c>
      <c r="D31" s="5">
        <v>46155</v>
      </c>
      <c r="E31" s="5">
        <v>46091</v>
      </c>
      <c r="F31" s="4">
        <v>627.33221435546875</v>
      </c>
      <c r="G31" s="5">
        <v>46085</v>
      </c>
      <c r="H31" s="4">
        <v>611.76007080078125</v>
      </c>
      <c r="I31" s="5">
        <v>46112</v>
      </c>
      <c r="J31" s="4">
        <v>590.88153076171875</v>
      </c>
      <c r="K31">
        <f>VLOOKUP(A31,'135 Raw Peak Audit'!$A$1:$I$136,9)</f>
        <v>2</v>
      </c>
      <c r="L31" t="str">
        <f>_xlfn.TEXTJOIN("; ",TRUE,_xlfn.UNIQUE(_xlfn.VSTACK(
_xlfn.XLOOKUP(E31,'135 Raw Peak Audit'!$E$2:$E$136,'135 Raw Peak Audit'!$J$2:$J$136),
_xlfn.XLOOKUP(G31,'135 Raw Peak Audit'!$E$2:$E$136,'135 Raw Peak Audit'!$J$2:$J$136),
_xlfn.XLOOKUP(I31,'135 Raw Peak Audit'!$E$2:$E$136,'135 Raw Peak Audit'!$J$2:$J$136)
)))</f>
        <v>E07; E17</v>
      </c>
      <c r="M31" t="str" cm="1">
        <f t="array" ref="M31">_xlfn.LET(
    _xlpm.id,A31,
    _xlpm.start,C31,
    _xlpm.finish,D31,
    _xlpm.rawID,'135 Raw Peak Audit'!$A$2:$A$136,
    _xlpm.rawDate,'135 Raw Peak Audit'!$E$2:$E$136,
    _xlpm.rawSource,'135 Raw Peak Audit'!$J$2:$J$136,
    _xlpm.current,_xlfn.TEXTSPLIT(SUBSTITUTE(L31,"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>E36</v>
      </c>
      <c r="N31" t="str">
        <f t="shared" si="0"/>
        <v>E07; E17;E36</v>
      </c>
      <c r="O31" t="str" cm="1">
        <f t="array" ref="O31">_xlfn.LET(
    _xlpm.events,_xlfn._xlws.FILTER(
        '135 Raw Peak Audit'!$G$2:$G$136,
        ('135 Raw Peak Audit'!$E$2:$E$136&gt;=C31)*
        ('135 Raw Peak Audit'!$E$2:$E$136&lt;=D31)
    ),
    _xlfn.TEXTJOIN("; ",TRUE,_xlfn.UNIQUE(_xlpm.events))
)</f>
        <v>2026 - Iran war / Strait of Hormuz and energy disruption; 2026 - Iran war / Gulf shipping and Strait of Hormuz; 2026 - Iran war / US-Iran negotiations / Strait of Hormuz</v>
      </c>
    </row>
    <row r="32" spans="1:15" ht="43.2">
      <c r="A32" s="4" t="s">
        <v>40</v>
      </c>
      <c r="B32" s="5">
        <v>42381</v>
      </c>
      <c r="C32" s="5">
        <v>42361</v>
      </c>
      <c r="D32" s="5">
        <v>42397</v>
      </c>
      <c r="E32" s="5">
        <v>42374</v>
      </c>
      <c r="F32" s="4">
        <v>266.29644775390625</v>
      </c>
      <c r="G32" s="5">
        <v>42376</v>
      </c>
      <c r="H32" s="4">
        <v>264.65521240234375</v>
      </c>
      <c r="I32" s="5">
        <v>42377</v>
      </c>
      <c r="J32" s="4">
        <v>203.20111083984375</v>
      </c>
      <c r="K32">
        <f>VLOOKUP(A32,'135 Raw Peak Audit'!$A$1:$I$136,9)</f>
        <v>1</v>
      </c>
      <c r="L32" t="str">
        <f>_xlfn.TEXTJOIN("; ",TRUE,_xlfn.UNIQUE(_xlfn.VSTACK(
_xlfn.XLOOKUP(E32,'135 Raw Peak Audit'!$E$2:$E$136,'135 Raw Peak Audit'!$J$2:$J$136),
_xlfn.XLOOKUP(G32,'135 Raw Peak Audit'!$E$2:$E$136,'135 Raw Peak Audit'!$J$2:$J$136),
_xlfn.XLOOKUP(I32,'135 Raw Peak Audit'!$E$2:$E$136,'135 Raw Peak Audit'!$J$2:$J$136)
)))</f>
        <v>E28</v>
      </c>
      <c r="M32" t="str" cm="1">
        <f t="array" ref="M32">_xlfn.LET(
    _xlpm.id,A32,
    _xlpm.start,C32,
    _xlpm.finish,D32,
    _xlpm.rawID,'135 Raw Peak Audit'!$A$2:$A$136,
    _xlpm.rawDate,'135 Raw Peak Audit'!$E$2:$E$136,
    _xlpm.rawSource,'135 Raw Peak Audit'!$J$2:$J$136,
    _xlpm.current,_xlfn.TEXTSPLIT(SUBSTITUTE(L32,"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32" t="str">
        <f t="shared" si="0"/>
        <v>E28</v>
      </c>
      <c r="O32" t="str" cm="1">
        <f t="array" ref="O32">_xlfn.LET(
    _xlpm.events,_xlfn._xlws.FILTER(
        '135 Raw Peak Audit'!$G$2:$G$136,
        ('135 Raw Peak Audit'!$E$2:$E$136&gt;=C32)*
        ('135 Raw Peak Audit'!$E$2:$E$136&lt;=D32)
    ),
    _xlfn.TEXTJOIN("; ",TRUE,_xlfn.UNIQUE(_xlpm.events))
)</f>
        <v>2016 - North Korea nuclear test</v>
      </c>
    </row>
    <row r="33" spans="1:15" ht="43.2">
      <c r="A33" s="4" t="s">
        <v>41</v>
      </c>
      <c r="B33" s="5">
        <v>43839</v>
      </c>
      <c r="C33" s="5">
        <v>43823</v>
      </c>
      <c r="D33" s="5">
        <v>43852</v>
      </c>
      <c r="E33" s="5">
        <v>43837</v>
      </c>
      <c r="F33" s="4">
        <v>622.11676025390625</v>
      </c>
      <c r="G33" s="5">
        <v>43839</v>
      </c>
      <c r="H33" s="4">
        <v>551.646240234375</v>
      </c>
      <c r="I33" s="5">
        <v>43836</v>
      </c>
      <c r="J33" s="4">
        <v>320.62907918294269</v>
      </c>
      <c r="K33">
        <f>VLOOKUP(A33,'135 Raw Peak Audit'!$A$1:$I$136,9)</f>
        <v>2</v>
      </c>
      <c r="L33" t="str">
        <f>_xlfn.TEXTJOIN("; ",TRUE,_xlfn.UNIQUE(_xlfn.VSTACK(
_xlfn.XLOOKUP(E33,'135 Raw Peak Audit'!$E$2:$E$136,'135 Raw Peak Audit'!$J$2:$J$136),
_xlfn.XLOOKUP(G33,'135 Raw Peak Audit'!$E$2:$E$136,'135 Raw Peak Audit'!$J$2:$J$136),
_xlfn.XLOOKUP(I33,'135 Raw Peak Audit'!$E$2:$E$136,'135 Raw Peak Audit'!$J$2:$J$136)
)))</f>
        <v>E19; E18</v>
      </c>
      <c r="M33" t="str" cm="1">
        <f t="array" ref="M33">_xlfn.LET(
    _xlpm.id,A33,
    _xlpm.start,C33,
    _xlpm.finish,D33,
    _xlpm.rawID,'135 Raw Peak Audit'!$A$2:$A$136,
    _xlpm.rawDate,'135 Raw Peak Audit'!$E$2:$E$136,
    _xlpm.rawSource,'135 Raw Peak Audit'!$J$2:$J$136,
    _xlpm.current,_xlfn.TEXTSPLIT(SUBSTITUTE(L33,"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33" t="str">
        <f t="shared" si="0"/>
        <v>E19; E18</v>
      </c>
      <c r="O33" t="str" cm="1">
        <f t="array" ref="O33">_xlfn.LET(
    _xlpm.events,_xlfn._xlws.FILTER(
        '135 Raw Peak Audit'!$G$2:$G$136,
        ('135 Raw Peak Audit'!$E$2:$E$136&gt;=C33)*
        ('135 Raw Peak Audit'!$E$2:$E$136&lt;=D33)
    ),
    _xlfn.TEXTJOIN("; ",TRUE,_xlfn.UNIQUE(_xlpm.events))
)</f>
        <v>2020 - Ukrainian airliner downing / US-Iran aftermath; 2020 - US-Iran confrontation after Soleimani killing</v>
      </c>
    </row>
    <row r="34" spans="1:15" ht="43.2">
      <c r="A34" s="4" t="s">
        <v>42</v>
      </c>
      <c r="B34" s="5">
        <v>44337</v>
      </c>
      <c r="C34" s="5">
        <v>44320</v>
      </c>
      <c r="D34" s="5">
        <v>44354</v>
      </c>
      <c r="E34" s="5">
        <v>44341</v>
      </c>
      <c r="F34" s="4">
        <v>276.6029052734375</v>
      </c>
      <c r="G34" s="5">
        <v>44342</v>
      </c>
      <c r="H34" s="4">
        <v>243.57121276855469</v>
      </c>
      <c r="I34" s="5">
        <v>44335</v>
      </c>
      <c r="J34" s="4">
        <v>204.66900634765625</v>
      </c>
      <c r="K34">
        <f>VLOOKUP(A34,'135 Raw Peak Audit'!$A$1:$I$136,9)</f>
        <v>2</v>
      </c>
      <c r="L34" t="str">
        <f>_xlfn.TEXTJOIN("; ",TRUE,_xlfn.UNIQUE(_xlfn.VSTACK(
_xlfn.XLOOKUP(E34,'135 Raw Peak Audit'!$E$2:$E$136,'135 Raw Peak Audit'!$J$2:$J$136),
_xlfn.XLOOKUP(G34,'135 Raw Peak Audit'!$E$2:$E$136,'135 Raw Peak Audit'!$J$2:$J$136),
_xlfn.XLOOKUP(I34,'135 Raw Peak Audit'!$E$2:$E$136,'135 Raw Peak Audit'!$J$2:$J$136)
)))</f>
        <v>E04; E14</v>
      </c>
      <c r="M34" t="str" cm="1">
        <f t="array" ref="M34">_xlfn.LET(
    _xlpm.id,A34,
    _xlpm.start,C34,
    _xlpm.finish,D34,
    _xlpm.rawID,'135 Raw Peak Audit'!$A$2:$A$136,
    _xlpm.rawDate,'135 Raw Peak Audit'!$E$2:$E$136,
    _xlpm.rawSource,'135 Raw Peak Audit'!$J$2:$J$136,
    _xlpm.current,_xlfn.TEXTSPLIT(SUBSTITUTE(L34,"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34" t="str">
        <f t="shared" si="0"/>
        <v>E04; E14</v>
      </c>
      <c r="O34" t="str" cm="1">
        <f t="array" ref="O34">_xlfn.LET(
    _xlpm.events,_xlfn._xlws.FILTER(
        '135 Raw Peak Audit'!$G$2:$G$136,
        ('135 Raw Peak Audit'!$E$2:$E$136&gt;=C34)*
        ('135 Raw Peak Audit'!$E$2:$E$136&lt;=D34)
    ),
    _xlfn.TEXTJOIN("; ",TRUE,_xlfn.UNIQUE(_xlpm.events))
)</f>
        <v>2021 - Gaza ceasefire / reconstruction aftermath; 2021 - Israel-Gaza fighting</v>
      </c>
    </row>
    <row r="35" spans="1:15" ht="43.2">
      <c r="A35" s="4" t="s">
        <v>43</v>
      </c>
      <c r="B35" s="5">
        <v>44621</v>
      </c>
      <c r="C35" s="5">
        <v>44602</v>
      </c>
      <c r="D35" s="5">
        <v>44636</v>
      </c>
      <c r="E35" s="5">
        <v>44621</v>
      </c>
      <c r="F35" s="4">
        <v>809.48681640625</v>
      </c>
      <c r="G35" s="5">
        <v>44617</v>
      </c>
      <c r="H35" s="4">
        <v>797.75244140625</v>
      </c>
      <c r="I35" s="5">
        <v>44622</v>
      </c>
      <c r="J35" s="4">
        <v>778.19549560546875</v>
      </c>
      <c r="K35">
        <f>VLOOKUP(A35,'135 Raw Peak Audit'!$A$1:$I$136,9)</f>
        <v>1</v>
      </c>
      <c r="L35" t="str">
        <f>_xlfn.TEXTJOIN("; ",TRUE,_xlfn.UNIQUE(_xlfn.VSTACK(
_xlfn.XLOOKUP(E35,'135 Raw Peak Audit'!$E$2:$E$136,'135 Raw Peak Audit'!$J$2:$J$136),
_xlfn.XLOOKUP(G35,'135 Raw Peak Audit'!$E$2:$E$136,'135 Raw Peak Audit'!$J$2:$J$136),
_xlfn.XLOOKUP(I35,'135 Raw Peak Audit'!$E$2:$E$136,'135 Raw Peak Audit'!$J$2:$J$136)
)))</f>
        <v>E29</v>
      </c>
      <c r="M35" t="str" cm="1">
        <f t="array" ref="M35">_xlfn.LET(
    _xlpm.id,A35,
    _xlpm.start,C35,
    _xlpm.finish,D35,
    _xlpm.rawID,'135 Raw Peak Audit'!$A$2:$A$136,
    _xlpm.rawDate,'135 Raw Peak Audit'!$E$2:$E$136,
    _xlpm.rawSource,'135 Raw Peak Audit'!$J$2:$J$136,
    _xlpm.current,_xlfn.TEXTSPLIT(SUBSTITUTE(L35,"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35" t="str">
        <f t="shared" si="0"/>
        <v>E29</v>
      </c>
      <c r="O35" t="str" cm="1">
        <f t="array" ref="O35">_xlfn.LET(
    _xlpm.events,_xlfn._xlws.FILTER(
        '135 Raw Peak Audit'!$G$2:$G$136,
        ('135 Raw Peak Audit'!$E$2:$E$136&gt;=C35)*
        ('135 Raw Peak Audit'!$E$2:$E$136&lt;=D35)
    ),
    _xlfn.TEXTJOIN("; ",TRUE,_xlfn.UNIQUE(_xlpm.events))
)</f>
        <v>2022 - Russia's invasion of Ukraine</v>
      </c>
    </row>
    <row r="36" spans="1:15" ht="43.2">
      <c r="A36" s="4" t="s">
        <v>44</v>
      </c>
      <c r="B36" s="5">
        <v>45828</v>
      </c>
      <c r="C36" s="5">
        <v>45813</v>
      </c>
      <c r="D36" s="5">
        <v>45845</v>
      </c>
      <c r="E36" s="5">
        <v>45826</v>
      </c>
      <c r="F36" s="4">
        <v>482.1663818359375</v>
      </c>
      <c r="G36" s="5">
        <v>45833</v>
      </c>
      <c r="H36" s="4">
        <v>462.94183349609375</v>
      </c>
      <c r="I36" s="5">
        <v>45832</v>
      </c>
      <c r="J36" s="4">
        <v>436.0411376953125</v>
      </c>
      <c r="K36">
        <f>VLOOKUP(A36,'135 Raw Peak Audit'!$A$1:$I$136,9)</f>
        <v>1</v>
      </c>
      <c r="L36" t="str">
        <f>_xlfn.TEXTJOIN("; ",TRUE,_xlfn.UNIQUE(_xlfn.VSTACK(
_xlfn.XLOOKUP(E36,'135 Raw Peak Audit'!$E$2:$E$136,'135 Raw Peak Audit'!$J$2:$J$136),
_xlfn.XLOOKUP(G36,'135 Raw Peak Audit'!$E$2:$E$136,'135 Raw Peak Audit'!$J$2:$J$136),
_xlfn.XLOOKUP(I36,'135 Raw Peak Audit'!$E$2:$E$136,'135 Raw Peak Audit'!$J$2:$J$136)
)))</f>
        <v>E20</v>
      </c>
      <c r="M36" t="str" cm="1">
        <f t="array" ref="M36">_xlfn.LET(
    _xlpm.id,A36,
    _xlpm.start,C36,
    _xlpm.finish,D36,
    _xlpm.rawID,'135 Raw Peak Audit'!$A$2:$A$136,
    _xlpm.rawDate,'135 Raw Peak Audit'!$E$2:$E$136,
    _xlpm.rawSource,'135 Raw Peak Audit'!$J$2:$J$136,
    _xlpm.current,_xlfn.TEXTSPLIT(SUBSTITUTE(L36,"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>E16</v>
      </c>
      <c r="N36" t="str">
        <f t="shared" si="0"/>
        <v>E20;E16</v>
      </c>
      <c r="O36" t="str" cm="1">
        <f t="array" ref="O36">_xlfn.LET(
    _xlpm.events,_xlfn._xlws.FILTER(
        '135 Raw Peak Audit'!$G$2:$G$136,
        ('135 Raw Peak Audit'!$E$2:$E$136&gt;=C36)*
        ('135 Raw Peak Audit'!$E$2:$E$136&lt;=D36)
    ),
    _xlfn.TEXTJOIN("; ",TRUE,_xlfn.UNIQUE(_xlpm.events))
)</f>
        <v>2025 - Gaza humanitarian aid / distribution crisis; 2025 - Israel-Iran war / US intervention / ceasefire</v>
      </c>
    </row>
    <row r="37" spans="1:15" ht="43.2">
      <c r="A37" s="4" t="s">
        <v>45</v>
      </c>
      <c r="B37" s="5">
        <v>41715</v>
      </c>
      <c r="C37" s="5">
        <v>41705</v>
      </c>
      <c r="D37" s="5">
        <v>41723</v>
      </c>
      <c r="E37" s="5">
        <v>41716</v>
      </c>
      <c r="F37" s="4">
        <v>300.75808715820313</v>
      </c>
      <c r="G37" s="5">
        <v>41723</v>
      </c>
      <c r="H37" s="4">
        <v>197.27215576171875</v>
      </c>
      <c r="I37" s="5">
        <v>41705</v>
      </c>
      <c r="J37" s="4">
        <v>189.33396911621094</v>
      </c>
      <c r="K37">
        <f>VLOOKUP(A37,'135 Raw Peak Audit'!$A$1:$I$136,9)</f>
        <v>1</v>
      </c>
      <c r="L37" t="str">
        <f>_xlfn.TEXTJOIN("; ",TRUE,_xlfn.UNIQUE(_xlfn.VSTACK(
_xlfn.XLOOKUP(E37,'135 Raw Peak Audit'!$E$2:$E$136,'135 Raw Peak Audit'!$J$2:$J$136),
_xlfn.XLOOKUP(G37,'135 Raw Peak Audit'!$E$2:$E$136,'135 Raw Peak Audit'!$J$2:$J$136),
_xlfn.XLOOKUP(I37,'135 Raw Peak Audit'!$E$2:$E$136,'135 Raw Peak Audit'!$J$2:$J$136)
)))</f>
        <v>E30</v>
      </c>
      <c r="M37" t="str" cm="1">
        <f t="array" ref="M37">_xlfn.LET(
    _xlpm.id,A37,
    _xlpm.start,C37,
    _xlpm.finish,D37,
    _xlpm.rawID,'135 Raw Peak Audit'!$A$2:$A$136,
    _xlpm.rawDate,'135 Raw Peak Audit'!$E$2:$E$136,
    _xlpm.rawSource,'135 Raw Peak Audit'!$J$2:$J$136,
    _xlpm.current,_xlfn.TEXTSPLIT(SUBSTITUTE(L37,"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37" t="str">
        <f t="shared" si="0"/>
        <v>E30</v>
      </c>
      <c r="O37" t="str" cm="1">
        <f t="array" ref="O37">_xlfn.LET(
    _xlpm.events,_xlfn._xlws.FILTER(
        '135 Raw Peak Audit'!$G$2:$G$136,
        ('135 Raw Peak Audit'!$E$2:$E$136&gt;=C37)*
        ('135 Raw Peak Audit'!$E$2:$E$136&lt;=D37)
    ),
    _xlfn.TEXTJOIN("; ",TRUE,_xlfn.UNIQUE(_xlpm.events))
)</f>
        <v>2014 - Crimea referendum / Russia-Ukraine confrontation</v>
      </c>
    </row>
    <row r="38" spans="1:15" ht="43.2">
      <c r="A38" s="4" t="s">
        <v>46</v>
      </c>
      <c r="B38" s="5">
        <v>41872</v>
      </c>
      <c r="C38" s="5">
        <v>41865</v>
      </c>
      <c r="D38" s="5">
        <v>41879</v>
      </c>
      <c r="E38" s="5">
        <v>41870</v>
      </c>
      <c r="F38" s="4">
        <v>260.62188720703125</v>
      </c>
      <c r="G38" s="5">
        <v>41878</v>
      </c>
      <c r="H38" s="4">
        <v>165.84709167480469</v>
      </c>
      <c r="I38" s="5">
        <v>41866</v>
      </c>
      <c r="J38" s="4">
        <v>155.58172607421875</v>
      </c>
      <c r="K38">
        <f>VLOOKUP(A38,'135 Raw Peak Audit'!$A$1:$I$136,9)</f>
        <v>3</v>
      </c>
      <c r="L38" t="str">
        <f>_xlfn.TEXTJOIN("; ",TRUE,_xlfn.UNIQUE(_xlfn.VSTACK(
_xlfn.XLOOKUP(E38,'135 Raw Peak Audit'!$E$2:$E$136,'135 Raw Peak Audit'!$J$2:$J$136),
_xlfn.XLOOKUP(G38,'135 Raw Peak Audit'!$E$2:$E$136,'135 Raw Peak Audit'!$J$2:$J$136),
_xlfn.XLOOKUP(I38,'135 Raw Peak Audit'!$E$2:$E$136,'135 Raw Peak Audit'!$J$2:$J$136)
)))</f>
        <v>E31; E32; E33</v>
      </c>
      <c r="M38" t="str" cm="1">
        <f t="array" ref="M38">_xlfn.LET(
    _xlpm.id,A38,
    _xlpm.start,C38,
    _xlpm.finish,D38,
    _xlpm.rawID,'135 Raw Peak Audit'!$A$2:$A$136,
    _xlpm.rawDate,'135 Raw Peak Audit'!$E$2:$E$136,
    _xlpm.rawSource,'135 Raw Peak Audit'!$J$2:$J$136,
    _xlpm.current,_xlfn.TEXTSPLIT(SUBSTITUTE(L38,"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38" t="str">
        <f t="shared" si="0"/>
        <v>E31; E32; E33</v>
      </c>
      <c r="O38" t="str" cm="1">
        <f t="array" ref="O38">_xlfn.LET(
    _xlpm.events,_xlfn._xlws.FILTER(
        '135 Raw Peak Audit'!$G$2:$G$136,
        ('135 Raw Peak Audit'!$E$2:$E$136&gt;=C38)*
        ('135 Raw Peak Audit'!$E$2:$E$136&lt;=D38)
    ),
    _xlfn.TEXTJOIN("; ",TRUE,_xlfn.UNIQUE(_xlpm.events))
)</f>
        <v>2014 - ISIS killing of James Foley; 2014 - Israel-Gaza ceasefire collapse / renewed fighting; 2014 - Russian humanitarian aid convoy / Ukraine</v>
      </c>
    </row>
    <row r="39" spans="1:15" ht="43.2">
      <c r="A39" s="4" t="s">
        <v>47</v>
      </c>
      <c r="B39" s="5">
        <v>42338</v>
      </c>
      <c r="C39" s="5">
        <v>42307</v>
      </c>
      <c r="D39" s="5">
        <v>42355</v>
      </c>
      <c r="E39" s="5">
        <v>42325</v>
      </c>
      <c r="F39" s="4">
        <v>266.17459106445313</v>
      </c>
      <c r="G39" s="5">
        <v>42332</v>
      </c>
      <c r="H39" s="4">
        <v>238.09420776367188</v>
      </c>
      <c r="I39" s="5">
        <v>42335</v>
      </c>
      <c r="J39" s="4">
        <v>212.76165771484375</v>
      </c>
      <c r="K39">
        <f>VLOOKUP(A39,'135 Raw Peak Audit'!$A$1:$I$136,9)</f>
        <v>2</v>
      </c>
      <c r="L39" t="str">
        <f>_xlfn.TEXTJOIN("; ",TRUE,_xlfn.UNIQUE(_xlfn.VSTACK(
_xlfn.XLOOKUP(E39,'135 Raw Peak Audit'!$E$2:$E$136,'135 Raw Peak Audit'!$J$2:$J$136),
_xlfn.XLOOKUP(G39,'135 Raw Peak Audit'!$E$2:$E$136,'135 Raw Peak Audit'!$J$2:$J$136),
_xlfn.XLOOKUP(I39,'135 Raw Peak Audit'!$E$2:$E$136,'135 Raw Peak Audit'!$J$2:$J$136)
)))</f>
        <v>E02; E03</v>
      </c>
      <c r="M39" t="str" cm="1">
        <f t="array" ref="M39">_xlfn.LET(
    _xlpm.id,A39,
    _xlpm.start,C39,
    _xlpm.finish,D39,
    _xlpm.rawID,'135 Raw Peak Audit'!$A$2:$A$136,
    _xlpm.rawDate,'135 Raw Peak Audit'!$E$2:$E$136,
    _xlpm.rawSource,'135 Raw Peak Audit'!$J$2:$J$136,
    _xlpm.current,_xlfn.TEXTSPLIT(SUBSTITUTE(L39,"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>E23; E24</v>
      </c>
      <c r="N39" t="str">
        <f t="shared" si="0"/>
        <v>E02; E03;E23; E24</v>
      </c>
      <c r="O39" t="str" cm="1">
        <f t="array" ref="O39">_xlfn.LET(
    _xlpm.events,_xlfn._xlws.FILTER(
        '135 Raw Peak Audit'!$G$2:$G$136,
        ('135 Raw Peak Audit'!$E$2:$E$136&gt;=C39)*
        ('135 Raw Peak Audit'!$E$2:$E$136&lt;=D39)
    ),
    _xlfn.TEXTJOIN("; ",TRUE,_xlfn.UNIQUE(_xlpm.events))
)</f>
        <v>2015 - Paris attacks / French anti-terror response; 2015 - Russia-Turkey confrontation after Russian jet downing; 2015 - Turkey-PKK military escalation; 2015 - Anti-ISIS military intervention in Syria/Iraq</v>
      </c>
    </row>
    <row r="40" spans="1:15" ht="43.2">
      <c r="A40" s="4" t="s">
        <v>48</v>
      </c>
      <c r="B40" s="5">
        <v>43740</v>
      </c>
      <c r="C40" s="5">
        <v>43728</v>
      </c>
      <c r="D40" s="5">
        <v>43746</v>
      </c>
      <c r="E40" s="5">
        <v>43735</v>
      </c>
      <c r="F40" s="4">
        <v>146.44197082519531</v>
      </c>
      <c r="G40" s="5">
        <v>43733</v>
      </c>
      <c r="H40" s="4">
        <v>142.35160827636719</v>
      </c>
      <c r="I40" s="5">
        <v>43742</v>
      </c>
      <c r="J40" s="4">
        <v>135.23403930664063</v>
      </c>
      <c r="K40">
        <f>VLOOKUP(A40,'135 Raw Peak Audit'!$A$1:$I$136,9)</f>
        <v>2</v>
      </c>
      <c r="L40" t="str">
        <f>_xlfn.TEXTJOIN("; ",TRUE,_xlfn.UNIQUE(_xlfn.VSTACK(
_xlfn.XLOOKUP(E40,'135 Raw Peak Audit'!$E$2:$E$136,'135 Raw Peak Audit'!$J$2:$J$136),
_xlfn.XLOOKUP(G40,'135 Raw Peak Audit'!$E$2:$E$136,'135 Raw Peak Audit'!$J$2:$J$136),
_xlfn.XLOOKUP(I40,'135 Raw Peak Audit'!$E$2:$E$136,'135 Raw Peak Audit'!$J$2:$J$136)
)))</f>
        <v>E10; E11</v>
      </c>
      <c r="M40" t="str" cm="1">
        <f t="array" ref="M40">_xlfn.LET(
    _xlpm.id,A40,
    _xlpm.start,C40,
    _xlpm.finish,D40,
    _xlpm.rawID,'135 Raw Peak Audit'!$A$2:$A$136,
    _xlpm.rawDate,'135 Raw Peak Audit'!$E$2:$E$136,
    _xlpm.rawSource,'135 Raw Peak Audit'!$J$2:$J$136,
    _xlpm.current,_xlfn.TEXTSPLIT(SUBSTITUTE(L40,"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40" t="str">
        <f t="shared" si="0"/>
        <v>E10; E11</v>
      </c>
      <c r="O40" t="str" cm="1">
        <f t="array" ref="O40">_xlfn.LET(
    _xlpm.events,_xlfn._xlws.FILTER(
        '135 Raw Peak Audit'!$G$2:$G$136,
        ('135 Raw Peak Audit'!$E$2:$E$136&gt;=C40)*
        ('135 Raw Peak Audit'!$E$2:$E$136&lt;=D40)
    ),
    _xlfn.TEXTJOIN("; ",TRUE,_xlfn.UNIQUE(_xlpm.events))
)</f>
        <v>2019 - Saudi-Iran tensions following Aramco attacks; 2019 - Turkey-Syria cross-border offensive</v>
      </c>
    </row>
    <row r="41" spans="1:15" ht="43.2">
      <c r="A41" s="4" t="s">
        <v>49</v>
      </c>
      <c r="B41" s="5">
        <v>46112</v>
      </c>
      <c r="C41" s="5">
        <v>46107</v>
      </c>
      <c r="D41" s="5">
        <v>46120</v>
      </c>
      <c r="E41" s="5">
        <v>46112</v>
      </c>
      <c r="F41" s="4">
        <v>492.85354614257813</v>
      </c>
      <c r="G41" s="5">
        <v>46114</v>
      </c>
      <c r="H41" s="4">
        <v>357.85009765625</v>
      </c>
      <c r="I41" s="5">
        <v>46107</v>
      </c>
      <c r="J41" s="4">
        <v>334.74871826171875</v>
      </c>
      <c r="K41">
        <f>VLOOKUP(A41,'135 Raw Peak Audit'!$A$1:$I$136,9)</f>
        <v>1</v>
      </c>
      <c r="L41" t="str">
        <f>_xlfn.TEXTJOIN("; ",TRUE,_xlfn.UNIQUE(_xlfn.VSTACK(
_xlfn.XLOOKUP(E41,'135 Raw Peak Audit'!$E$2:$E$136,'135 Raw Peak Audit'!$J$2:$J$136),
_xlfn.XLOOKUP(G41,'135 Raw Peak Audit'!$E$2:$E$136,'135 Raw Peak Audit'!$J$2:$J$136),
_xlfn.XLOOKUP(I41,'135 Raw Peak Audit'!$E$2:$E$136,'135 Raw Peak Audit'!$J$2:$J$136)
)))</f>
        <v>E17</v>
      </c>
      <c r="M41" t="str" cm="1">
        <f t="array" ref="M41">_xlfn.LET(
    _xlpm.id,A41,
    _xlpm.start,C41,
    _xlpm.finish,D41,
    _xlpm.rawID,'135 Raw Peak Audit'!$A$2:$A$136,
    _xlpm.rawDate,'135 Raw Peak Audit'!$E$2:$E$136,
    _xlpm.rawSource,'135 Raw Peak Audit'!$J$2:$J$136,
    _xlpm.current,_xlfn.TEXTSPLIT(SUBSTITUTE(L41,"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41" t="str">
        <f t="shared" si="0"/>
        <v>E17</v>
      </c>
      <c r="O41" t="str" cm="1">
        <f t="array" ref="O41">_xlfn.LET(
    _xlpm.events,_xlfn._xlws.FILTER(
        '135 Raw Peak Audit'!$G$2:$G$136,
        ('135 Raw Peak Audit'!$E$2:$E$136&gt;=C41)*
        ('135 Raw Peak Audit'!$E$2:$E$136&lt;=D41)
    ),
    _xlfn.TEXTJOIN("; ",TRUE,_xlfn.UNIQUE(_xlpm.events))
)</f>
        <v>2026 - Iran war / Gulf shipping and Strait of Hormuz</v>
      </c>
    </row>
    <row r="42" spans="1:15" ht="43.2">
      <c r="A42" s="4" t="s">
        <v>50</v>
      </c>
      <c r="B42" s="5">
        <v>42941</v>
      </c>
      <c r="C42" s="5">
        <v>42930</v>
      </c>
      <c r="D42" s="5">
        <v>42944</v>
      </c>
      <c r="E42" s="5">
        <v>42934</v>
      </c>
      <c r="F42" s="4">
        <v>163.74969482421875</v>
      </c>
      <c r="G42" s="5">
        <v>42942</v>
      </c>
      <c r="H42" s="4">
        <v>153.78181457519531</v>
      </c>
      <c r="I42" s="5">
        <v>42936</v>
      </c>
      <c r="J42" s="4">
        <v>147.48524475097656</v>
      </c>
      <c r="K42">
        <f>VLOOKUP(A42,'135 Raw Peak Audit'!$A$1:$I$136,9)</f>
        <v>1</v>
      </c>
      <c r="L42" t="str">
        <f>_xlfn.TEXTJOIN("; ",TRUE,_xlfn.UNIQUE(_xlfn.VSTACK(
_xlfn.XLOOKUP(E42,'135 Raw Peak Audit'!$E$2:$E$136,'135 Raw Peak Audit'!$J$2:$J$136),
_xlfn.XLOOKUP(G42,'135 Raw Peak Audit'!$E$2:$E$136,'135 Raw Peak Audit'!$J$2:$J$136),
_xlfn.XLOOKUP(I42,'135 Raw Peak Audit'!$E$2:$E$136,'135 Raw Peak Audit'!$J$2:$J$136)
)))</f>
        <v>E34</v>
      </c>
      <c r="M42" t="str" cm="1">
        <f t="array" ref="M42">_xlfn.LET(
    _xlpm.id,A42,
    _xlpm.start,C42,
    _xlpm.finish,D42,
    _xlpm.rawID,'135 Raw Peak Audit'!$A$2:$A$136,
    _xlpm.rawDate,'135 Raw Peak Audit'!$E$2:$E$136,
    _xlpm.rawSource,'135 Raw Peak Audit'!$J$2:$J$136,
    _xlpm.current,_xlfn.TEXTSPLIT(SUBSTITUTE(L42,"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42" t="str">
        <f t="shared" si="0"/>
        <v>E34</v>
      </c>
      <c r="O42" t="str" cm="1">
        <f t="array" ref="O42">_xlfn.LET(
    _xlpm.events,_xlfn._xlws.FILTER(
        '135 Raw Peak Audit'!$G$2:$G$136,
        ('135 Raw Peak Audit'!$E$2:$E$136&gt;=C42)*
        ('135 Raw Peak Audit'!$E$2:$E$136&lt;=D42)
    ),
    _xlfn.TEXTJOIN("; ",TRUE,_xlfn.UNIQUE(_xlpm.events))
)</f>
        <v>2017 - North Korea ballistic-missile / nuclear threat</v>
      </c>
    </row>
    <row r="43" spans="1:15" ht="43.2">
      <c r="A43" s="4" t="s">
        <v>51</v>
      </c>
      <c r="B43" s="5">
        <v>44628</v>
      </c>
      <c r="C43" s="5">
        <v>44616</v>
      </c>
      <c r="D43" s="5">
        <v>44634</v>
      </c>
      <c r="E43" s="5">
        <v>44621</v>
      </c>
      <c r="F43" s="4">
        <v>809.48681640625</v>
      </c>
      <c r="G43" s="5">
        <v>44617</v>
      </c>
      <c r="H43" s="4">
        <v>797.75244140625</v>
      </c>
      <c r="I43" s="5">
        <v>44622</v>
      </c>
      <c r="J43" s="4">
        <v>778.19549560546875</v>
      </c>
      <c r="K43">
        <f>VLOOKUP(A43,'135 Raw Peak Audit'!$A$1:$I$136,9)</f>
        <v>1</v>
      </c>
      <c r="L43" t="str">
        <f>_xlfn.TEXTJOIN("; ",TRUE,_xlfn.UNIQUE(_xlfn.VSTACK(
_xlfn.XLOOKUP(E43,'135 Raw Peak Audit'!$E$2:$E$136,'135 Raw Peak Audit'!$J$2:$J$136),
_xlfn.XLOOKUP(G43,'135 Raw Peak Audit'!$E$2:$E$136,'135 Raw Peak Audit'!$J$2:$J$136),
_xlfn.XLOOKUP(I43,'135 Raw Peak Audit'!$E$2:$E$136,'135 Raw Peak Audit'!$J$2:$J$136)
)))</f>
        <v>E29</v>
      </c>
      <c r="M43" t="str" cm="1">
        <f t="array" ref="M43">_xlfn.LET(
    _xlpm.id,A43,
    _xlpm.start,C43,
    _xlpm.finish,D43,
    _xlpm.rawID,'135 Raw Peak Audit'!$A$2:$A$136,
    _xlpm.rawDate,'135 Raw Peak Audit'!$E$2:$E$136,
    _xlpm.rawSource,'135 Raw Peak Audit'!$J$2:$J$136,
    _xlpm.current,_xlfn.TEXTSPLIT(SUBSTITUTE(L43,"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43" t="str">
        <f t="shared" si="0"/>
        <v>E29</v>
      </c>
      <c r="O43" t="str" cm="1">
        <f t="array" ref="O43">_xlfn.LET(
    _xlpm.events,_xlfn._xlws.FILTER(
        '135 Raw Peak Audit'!$G$2:$G$136,
        ('135 Raw Peak Audit'!$E$2:$E$136&gt;=C43)*
        ('135 Raw Peak Audit'!$E$2:$E$136&lt;=D43)
    ),
    _xlfn.TEXTJOIN("; ",TRUE,_xlfn.UNIQUE(_xlpm.events))
)</f>
        <v>2022 - Russia's invasion of Ukraine</v>
      </c>
    </row>
    <row r="44" spans="1:15" ht="43.2">
      <c r="A44" s="4" t="s">
        <v>52</v>
      </c>
      <c r="B44" s="5">
        <v>44757</v>
      </c>
      <c r="C44" s="5">
        <v>44753</v>
      </c>
      <c r="D44" s="5">
        <v>44767</v>
      </c>
      <c r="E44" s="5">
        <v>44757</v>
      </c>
      <c r="F44" s="4">
        <v>239.52207946777344</v>
      </c>
      <c r="G44" s="5">
        <v>44762</v>
      </c>
      <c r="H44" s="4">
        <v>239.52207946777344</v>
      </c>
      <c r="I44" s="5">
        <v>44761</v>
      </c>
      <c r="J44" s="4">
        <v>223.338134765625</v>
      </c>
      <c r="K44">
        <f>VLOOKUP(A44,'135 Raw Peak Audit'!$A$1:$I$136,9)</f>
        <v>1</v>
      </c>
      <c r="L44" t="str">
        <f>_xlfn.TEXTJOIN("; ",TRUE,_xlfn.UNIQUE(_xlfn.VSTACK(
_xlfn.XLOOKUP(E44,'135 Raw Peak Audit'!$E$2:$E$136,'135 Raw Peak Audit'!$J$2:$J$136),
_xlfn.XLOOKUP(G44,'135 Raw Peak Audit'!$E$2:$E$136,'135 Raw Peak Audit'!$J$2:$J$136),
_xlfn.XLOOKUP(I44,'135 Raw Peak Audit'!$E$2:$E$136,'135 Raw Peak Audit'!$J$2:$J$136)
)))</f>
        <v>E35</v>
      </c>
      <c r="M44" t="str" cm="1">
        <f t="array" ref="M44">_xlfn.LET(
    _xlpm.id,A44,
    _xlpm.start,C44,
    _xlpm.finish,D44,
    _xlpm.rawID,'135 Raw Peak Audit'!$A$2:$A$136,
    _xlpm.rawDate,'135 Raw Peak Audit'!$E$2:$E$136,
    _xlpm.rawSource,'135 Raw Peak Audit'!$J$2:$J$136,
    _xlpm.current,_xlfn.TEXTSPLIT(SUBSTITUTE(L44,"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44" t="str">
        <f t="shared" si="0"/>
        <v>E35</v>
      </c>
      <c r="O44" t="str" cm="1">
        <f t="array" ref="O44">_xlfn.LET(
    _xlpm.events,_xlfn._xlws.FILTER(
        '135 Raw Peak Audit'!$G$2:$G$136,
        ('135 Raw Peak Audit'!$E$2:$E$136&gt;=C44)*
        ('135 Raw Peak Audit'!$E$2:$E$136&lt;=D44)
    ),
    _xlfn.TEXTJOIN("; ",TRUE,_xlfn.UNIQUE(_xlpm.events))
)</f>
        <v>2022 - Vinnytsia missile strike / Russia-Ukraine war</v>
      </c>
    </row>
    <row r="45" spans="1:15" ht="43.2">
      <c r="A45" s="4" t="s">
        <v>53</v>
      </c>
      <c r="B45" s="5">
        <v>45813</v>
      </c>
      <c r="C45" s="5">
        <v>45796</v>
      </c>
      <c r="D45" s="5">
        <v>45821</v>
      </c>
      <c r="E45" s="5">
        <v>45798</v>
      </c>
      <c r="F45" s="4">
        <v>349.93695068359375</v>
      </c>
      <c r="G45" s="5">
        <v>45813</v>
      </c>
      <c r="H45" s="4">
        <v>341.34988403320313</v>
      </c>
      <c r="I45" s="5">
        <v>45805</v>
      </c>
      <c r="J45" s="4">
        <v>279.44241333007813</v>
      </c>
      <c r="K45">
        <f>VLOOKUP(A45,'135 Raw Peak Audit'!$A$1:$I$136,9)</f>
        <v>1</v>
      </c>
      <c r="L45" t="str">
        <f>_xlfn.TEXTJOIN("; ",TRUE,_xlfn.UNIQUE(_xlfn.VSTACK(
_xlfn.XLOOKUP(E45,'135 Raw Peak Audit'!$E$2:$E$136,'135 Raw Peak Audit'!$J$2:$J$136),
_xlfn.XLOOKUP(G45,'135 Raw Peak Audit'!$E$2:$E$136,'135 Raw Peak Audit'!$J$2:$J$136),
_xlfn.XLOOKUP(I45,'135 Raw Peak Audit'!$E$2:$E$136,'135 Raw Peak Audit'!$J$2:$J$136)
)))</f>
        <v>E16</v>
      </c>
      <c r="M45" t="str" cm="1">
        <f t="array" ref="M45">_xlfn.LET(
    _xlpm.id,A45,
    _xlpm.start,C45,
    _xlpm.finish,D45,
    _xlpm.rawID,'135 Raw Peak Audit'!$A$2:$A$136,
    _xlpm.rawDate,'135 Raw Peak Audit'!$E$2:$E$136,
    _xlpm.rawSource,'135 Raw Peak Audit'!$J$2:$J$136,
    _xlpm.current,_xlfn.TEXTSPLIT(SUBSTITUTE(L45,"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/>
      </c>
      <c r="N45" t="str">
        <f t="shared" si="0"/>
        <v>E16</v>
      </c>
      <c r="O45" t="str" cm="1">
        <f t="array" ref="O45">_xlfn.LET(
    _xlpm.events,_xlfn._xlws.FILTER(
        '135 Raw Peak Audit'!$G$2:$G$136,
        ('135 Raw Peak Audit'!$E$2:$E$136&gt;=C45)*
        ('135 Raw Peak Audit'!$E$2:$E$136&lt;=D45)
    ),
    _xlfn.TEXTJOIN("; ",TRUE,_xlfn.UNIQUE(_xlpm.events))
)</f>
        <v>2025 - Gaza humanitarian aid / distribution crisis</v>
      </c>
    </row>
    <row r="46" spans="1:15" ht="43.2">
      <c r="A46" s="6" t="s">
        <v>54</v>
      </c>
      <c r="B46" s="7">
        <v>46105</v>
      </c>
      <c r="C46" s="7">
        <v>46099</v>
      </c>
      <c r="D46" s="7">
        <v>46111</v>
      </c>
      <c r="E46" s="7">
        <v>46105</v>
      </c>
      <c r="F46" s="6">
        <v>459.083984375</v>
      </c>
      <c r="G46" s="7">
        <v>46100</v>
      </c>
      <c r="H46" s="6">
        <v>359.69467163085938</v>
      </c>
      <c r="I46" s="7">
        <v>46106</v>
      </c>
      <c r="J46" s="6">
        <v>351.24545288085938</v>
      </c>
      <c r="K46">
        <f>VLOOKUP(A46,'135 Raw Peak Audit'!$A$1:$I$136,9)</f>
        <v>1</v>
      </c>
      <c r="L46" t="str">
        <f>_xlfn.TEXTJOIN("; ",TRUE,_xlfn.UNIQUE(_xlfn.VSTACK(
_xlfn.XLOOKUP(E46,'135 Raw Peak Audit'!$E$2:$E$136,'135 Raw Peak Audit'!$J$2:$J$136),
_xlfn.XLOOKUP(G46,'135 Raw Peak Audit'!$E$2:$E$136,'135 Raw Peak Audit'!$J$2:$J$136),
_xlfn.XLOOKUP(I46,'135 Raw Peak Audit'!$E$2:$E$136,'135 Raw Peak Audit'!$J$2:$J$136)
)))</f>
        <v>E36</v>
      </c>
      <c r="M46" t="str" cm="1">
        <f t="array" ref="M46">_xlfn.LET(
    _xlpm.id,A46,
    _xlpm.start,C46,
    _xlpm.finish,D46,
    _xlpm.rawID,'135 Raw Peak Audit'!$A$2:$A$136,
    _xlpm.rawDate,'135 Raw Peak Audit'!$E$2:$E$136,
    _xlpm.rawSource,'135 Raw Peak Audit'!$J$2:$J$136,
    _xlpm.current,_xlfn.TEXTSPLIT(SUBSTITUTE(L46," ",""),";"),
    _xlpm.matches,_xlfn._xlws.FILTER(_xlpm.rawSource,(_xlpm.rawID&lt;&gt;_xlpm.id)*(_xlpm.rawDate&gt;=_xlpm.start)*(_xlpm.rawDate&lt;=_xlpm.finish)),
    _xlpm.additional,_xlfn.UNIQUE(_xlfn._xlws.FILTER(_xlpm.matches,ISNA(_xlfn.XMATCH(_xlpm.matches,_xlpm.current)))),
    IFERROR(_xlfn.TEXTJOIN("; ",TRUE,_xlpm.additional),"")
)</f>
        <v>E17</v>
      </c>
      <c r="N46" t="str">
        <f t="shared" si="0"/>
        <v>E36;E17</v>
      </c>
      <c r="O46" t="str" cm="1">
        <f t="array" ref="O46">_xlfn.LET(
    _xlpm.events,_xlfn._xlws.FILTER(
        '135 Raw Peak Audit'!$G$2:$G$136,
        ('135 Raw Peak Audit'!$E$2:$E$136&gt;=C46)*
        ('135 Raw Peak Audit'!$E$2:$E$136&lt;=D46)
    ),
    _xlfn.TEXTJOIN("; ",TRUE,_xlfn.UNIQUE(_xlpm.events))
)</f>
        <v>2026 - Iran war / Gulf shipping and Strait of Hormuz; 2026 - Iran war / US-Iran negotiations / Strait of Hormuz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64D1B-0CD8-4A98-B1ED-5AA158F06350}">
  <dimension ref="A1:J136"/>
  <sheetViews>
    <sheetView workbookViewId="0">
      <selection activeCell="J2" sqref="J2"/>
    </sheetView>
  </sheetViews>
  <sheetFormatPr defaultRowHeight="14.4"/>
  <cols>
    <col min="1" max="1" width="14.5546875" customWidth="1"/>
    <col min="2" max="3" width="10.33203125" bestFit="1" customWidth="1"/>
    <col min="5" max="5" width="10.33203125" bestFit="1" customWidth="1"/>
    <col min="7" max="7" width="28" customWidth="1"/>
    <col min="9" max="9" width="15.6640625" customWidth="1"/>
    <col min="10" max="10" width="11.77734375" customWidth="1"/>
  </cols>
  <sheetData>
    <row r="1" spans="1:10" ht="41.4">
      <c r="A1" s="8" t="s">
        <v>0</v>
      </c>
      <c r="B1" s="1" t="s">
        <v>55</v>
      </c>
      <c r="C1" s="1" t="s">
        <v>56</v>
      </c>
      <c r="D1" s="1" t="s">
        <v>57</v>
      </c>
      <c r="E1" s="1" t="s">
        <v>58</v>
      </c>
      <c r="F1" s="1" t="s">
        <v>59</v>
      </c>
      <c r="G1" s="1" t="s">
        <v>60</v>
      </c>
      <c r="H1" s="1" t="s">
        <v>61</v>
      </c>
      <c r="I1" s="9" t="s">
        <v>100</v>
      </c>
      <c r="J1" s="9" t="s">
        <v>101</v>
      </c>
    </row>
    <row r="2" spans="1:10" ht="28.8">
      <c r="A2" s="10" t="s">
        <v>10</v>
      </c>
      <c r="B2" s="3">
        <v>42192</v>
      </c>
      <c r="C2" s="3">
        <v>42212</v>
      </c>
      <c r="D2" s="2">
        <v>1</v>
      </c>
      <c r="E2" s="3">
        <v>42200</v>
      </c>
      <c r="F2" s="2">
        <v>229.97799682617188</v>
      </c>
      <c r="G2" s="2" t="s">
        <v>62</v>
      </c>
      <c r="H2" s="2" t="s">
        <v>63</v>
      </c>
      <c r="I2" cm="1">
        <f t="array" ref="I2">_xlfn.LET(
_xlpm.id,A2,
_xlpm.events,_xlfn._xlws.FILTER($G$2:$G$136,$A$2:$A$136=_xlpm.id),
ROWS(_xlfn.UNIQUE(_xlpm.events))
)</f>
        <v>1</v>
      </c>
      <c r="J2" s="4" t="str" cm="1">
        <f t="array" ref="J2">IF(G2="","",_xlfn.LET(
_xlpm.events,_xlfn.UNIQUE(_xlfn._xlws.FILTER($G$2:$G$136,$G$2:$G$136&lt;&gt;"")),
"E"&amp;TEXT(_xlfn.XMATCH(G2,_xlpm.events,0),"00")
))</f>
        <v>E01</v>
      </c>
    </row>
    <row r="3" spans="1:10" ht="28.8">
      <c r="A3" s="11" t="s">
        <v>10</v>
      </c>
      <c r="B3" s="5">
        <v>42192</v>
      </c>
      <c r="C3" s="5">
        <v>42212</v>
      </c>
      <c r="D3" s="4">
        <v>2</v>
      </c>
      <c r="E3" s="5">
        <v>42206</v>
      </c>
      <c r="F3" s="4">
        <v>193.97918701171875</v>
      </c>
      <c r="G3" s="4" t="s">
        <v>62</v>
      </c>
      <c r="H3" s="4" t="s">
        <v>63</v>
      </c>
      <c r="I3" cm="1">
        <f t="array" ref="I3">_xlfn.LET(
_xlpm.id,A3,
_xlpm.events,_xlfn._xlws.FILTER($G$2:$G$136,$A$2:$A$136=_xlpm.id),
ROWS(_xlfn.UNIQUE(_xlpm.events))
)</f>
        <v>1</v>
      </c>
      <c r="J3" s="4" t="str" cm="1">
        <f t="array" ref="J3">IF(G3="","",_xlfn.LET(
_xlpm.events,_xlfn.UNIQUE(_xlfn._xlws.FILTER($G$2:$G$136,$G$2:$G$136&lt;&gt;"")),
"E"&amp;TEXT(_xlfn.XMATCH(G3,_xlpm.events,0),"00")
))</f>
        <v>E01</v>
      </c>
    </row>
    <row r="4" spans="1:10" ht="28.8">
      <c r="A4" s="11" t="s">
        <v>10</v>
      </c>
      <c r="B4" s="5">
        <v>42192</v>
      </c>
      <c r="C4" s="5">
        <v>42212</v>
      </c>
      <c r="D4" s="4">
        <v>3</v>
      </c>
      <c r="E4" s="5">
        <v>42207</v>
      </c>
      <c r="F4" s="4">
        <v>152.95497131347656</v>
      </c>
      <c r="G4" s="4" t="s">
        <v>62</v>
      </c>
      <c r="H4" s="4" t="s">
        <v>63</v>
      </c>
      <c r="I4" cm="1">
        <f t="array" ref="I4">_xlfn.LET(
_xlpm.id,A4,
_xlpm.events,_xlfn._xlws.FILTER($G$2:$G$136,$A$2:$A$136=_xlpm.id),
ROWS(_xlfn.UNIQUE(_xlpm.events))
)</f>
        <v>1</v>
      </c>
      <c r="J4" s="4" t="str" cm="1">
        <f t="array" ref="J4">IF(G4="","",_xlfn.LET(
_xlpm.events,_xlfn.UNIQUE(_xlfn._xlws.FILTER($G$2:$G$136,$G$2:$G$136&lt;&gt;"")),
"E"&amp;TEXT(_xlfn.XMATCH(G4,_xlpm.events,0),"00")
))</f>
        <v>E01</v>
      </c>
    </row>
    <row r="5" spans="1:10" ht="86.4">
      <c r="A5" s="11" t="s">
        <v>11</v>
      </c>
      <c r="B5" s="5">
        <v>42314</v>
      </c>
      <c r="C5" s="5">
        <v>42338</v>
      </c>
      <c r="D5" s="4">
        <v>1</v>
      </c>
      <c r="E5" s="5">
        <v>42325</v>
      </c>
      <c r="F5" s="4">
        <v>354.0518798828125</v>
      </c>
      <c r="G5" s="4" t="s">
        <v>64</v>
      </c>
      <c r="H5" s="4" t="s">
        <v>65</v>
      </c>
      <c r="I5" cm="1">
        <f t="array" ref="I5">_xlfn.LET(
_xlpm.id,A5,
_xlpm.events,_xlfn._xlws.FILTER($G$2:$G$136,$A$2:$A$136=_xlpm.id),
ROWS(_xlfn.UNIQUE(_xlpm.events))
)</f>
        <v>2</v>
      </c>
      <c r="J5" s="4" t="str" cm="1">
        <f t="array" ref="J5">IF(G5="","",_xlfn.LET(
_xlpm.events,_xlfn.UNIQUE(_xlfn._xlws.FILTER($G$2:$G$136,$G$2:$G$136&lt;&gt;"")),
"E"&amp;TEXT(_xlfn.XMATCH(G5,_xlpm.events,0),"00")
))</f>
        <v>E02</v>
      </c>
    </row>
    <row r="6" spans="1:10" ht="86.4">
      <c r="A6" s="11" t="s">
        <v>11</v>
      </c>
      <c r="B6" s="5">
        <v>42314</v>
      </c>
      <c r="C6" s="5">
        <v>42338</v>
      </c>
      <c r="D6" s="4">
        <v>2</v>
      </c>
      <c r="E6" s="5">
        <v>42326</v>
      </c>
      <c r="F6" s="4">
        <v>309.495361328125</v>
      </c>
      <c r="G6" s="4" t="s">
        <v>64</v>
      </c>
      <c r="H6" s="4" t="s">
        <v>65</v>
      </c>
      <c r="I6" cm="1">
        <f t="array" ref="I6">_xlfn.LET(
_xlpm.id,A6,
_xlpm.events,_xlfn._xlws.FILTER($G$2:$G$136,$A$2:$A$136=_xlpm.id),
ROWS(_xlfn.UNIQUE(_xlpm.events))
)</f>
        <v>2</v>
      </c>
      <c r="J6" s="4" t="str" cm="1">
        <f t="array" ref="J6">IF(G6="","",_xlfn.LET(
_xlpm.events,_xlfn.UNIQUE(_xlfn._xlws.FILTER($G$2:$G$136,$G$2:$G$136&lt;&gt;"")),
"E"&amp;TEXT(_xlfn.XMATCH(G6,_xlpm.events,0),"00")
))</f>
        <v>E02</v>
      </c>
    </row>
    <row r="7" spans="1:10" ht="86.4">
      <c r="A7" s="11" t="s">
        <v>11</v>
      </c>
      <c r="B7" s="5">
        <v>42314</v>
      </c>
      <c r="C7" s="5">
        <v>42338</v>
      </c>
      <c r="D7" s="4">
        <v>3</v>
      </c>
      <c r="E7" s="5">
        <v>42333</v>
      </c>
      <c r="F7" s="4">
        <v>247.6171875</v>
      </c>
      <c r="G7" s="4" t="s">
        <v>66</v>
      </c>
      <c r="H7" s="4" t="s">
        <v>65</v>
      </c>
      <c r="I7" cm="1">
        <f t="array" ref="I7">_xlfn.LET(
_xlpm.id,A7,
_xlpm.events,_xlfn._xlws.FILTER($G$2:$G$136,$A$2:$A$136=_xlpm.id),
ROWS(_xlfn.UNIQUE(_xlpm.events))
)</f>
        <v>2</v>
      </c>
      <c r="J7" s="4" t="str" cm="1">
        <f t="array" ref="J7">IF(G7="","",_xlfn.LET(
_xlpm.events,_xlfn.UNIQUE(_xlfn._xlws.FILTER($G$2:$G$136,$G$2:$G$136&lt;&gt;"")),
"E"&amp;TEXT(_xlfn.XMATCH(G7,_xlpm.events,0),"00")
))</f>
        <v>E03</v>
      </c>
    </row>
    <row r="8" spans="1:10" ht="86.4">
      <c r="A8" s="11" t="s">
        <v>12</v>
      </c>
      <c r="B8" s="5">
        <v>44320</v>
      </c>
      <c r="C8" s="5">
        <v>44354</v>
      </c>
      <c r="D8" s="4">
        <v>1</v>
      </c>
      <c r="E8" s="5">
        <v>44342</v>
      </c>
      <c r="F8" s="4">
        <v>176.61283874511719</v>
      </c>
      <c r="G8" s="4" t="s">
        <v>67</v>
      </c>
      <c r="H8" s="4" t="s">
        <v>65</v>
      </c>
      <c r="I8" cm="1">
        <f t="array" ref="I8">_xlfn.LET(
_xlpm.id,A8,
_xlpm.events,_xlfn._xlws.FILTER($G$2:$G$136,$A$2:$A$136=_xlpm.id),
ROWS(_xlfn.UNIQUE(_xlpm.events))
)</f>
        <v>1</v>
      </c>
      <c r="J8" s="4" t="str" cm="1">
        <f t="array" ref="J8">IF(G8="","",_xlfn.LET(
_xlpm.events,_xlfn.UNIQUE(_xlfn._xlws.FILTER($G$2:$G$136,$G$2:$G$136&lt;&gt;"")),
"E"&amp;TEXT(_xlfn.XMATCH(G8,_xlpm.events,0),"00")
))</f>
        <v>E04</v>
      </c>
    </row>
    <row r="9" spans="1:10" ht="86.4">
      <c r="A9" s="11" t="s">
        <v>12</v>
      </c>
      <c r="B9" s="5">
        <v>44320</v>
      </c>
      <c r="C9" s="5">
        <v>44354</v>
      </c>
      <c r="D9" s="4">
        <v>2</v>
      </c>
      <c r="E9" s="5">
        <v>44341</v>
      </c>
      <c r="F9" s="4">
        <v>170.94143676757813</v>
      </c>
      <c r="G9" s="4" t="s">
        <v>67</v>
      </c>
      <c r="H9" s="4" t="s">
        <v>65</v>
      </c>
      <c r="I9" cm="1">
        <f t="array" ref="I9">_xlfn.LET(
_xlpm.id,A9,
_xlpm.events,_xlfn._xlws.FILTER($G$2:$G$136,$A$2:$A$136=_xlpm.id),
ROWS(_xlfn.UNIQUE(_xlpm.events))
)</f>
        <v>1</v>
      </c>
      <c r="J9" s="4" t="str" cm="1">
        <f t="array" ref="J9">IF(G9="","",_xlfn.LET(
_xlpm.events,_xlfn.UNIQUE(_xlfn._xlws.FILTER($G$2:$G$136,$G$2:$G$136&lt;&gt;"")),
"E"&amp;TEXT(_xlfn.XMATCH(G9,_xlpm.events,0),"00")
))</f>
        <v>E04</v>
      </c>
    </row>
    <row r="10" spans="1:10" ht="86.4">
      <c r="A10" s="11" t="s">
        <v>12</v>
      </c>
      <c r="B10" s="5">
        <v>44320</v>
      </c>
      <c r="C10" s="5">
        <v>44354</v>
      </c>
      <c r="D10" s="4">
        <v>3</v>
      </c>
      <c r="E10" s="5">
        <v>44337</v>
      </c>
      <c r="F10" s="4">
        <v>165.85250854492188</v>
      </c>
      <c r="G10" s="4" t="s">
        <v>67</v>
      </c>
      <c r="H10" s="4" t="s">
        <v>65</v>
      </c>
      <c r="I10" cm="1">
        <f t="array" ref="I10">_xlfn.LET(
_xlpm.id,A10,
_xlpm.events,_xlfn._xlws.FILTER($G$2:$G$136,$A$2:$A$136=_xlpm.id),
ROWS(_xlfn.UNIQUE(_xlpm.events))
)</f>
        <v>1</v>
      </c>
      <c r="J10" s="4" t="str" cm="1">
        <f t="array" ref="J10">IF(G10="","",_xlfn.LET(
_xlpm.events,_xlfn.UNIQUE(_xlfn._xlws.FILTER($G$2:$G$136,$G$2:$G$136&lt;&gt;"")),
"E"&amp;TEXT(_xlfn.XMATCH(G10,_xlpm.events,0),"00")
))</f>
        <v>E04</v>
      </c>
    </row>
    <row r="11" spans="1:10" ht="86.4">
      <c r="A11" s="11" t="s">
        <v>13</v>
      </c>
      <c r="B11" s="5">
        <v>45719</v>
      </c>
      <c r="C11" s="5">
        <v>45747</v>
      </c>
      <c r="D11" s="4">
        <v>1</v>
      </c>
      <c r="E11" s="5">
        <v>45735</v>
      </c>
      <c r="F11" s="4">
        <v>275.09213256835938</v>
      </c>
      <c r="G11" s="4" t="s">
        <v>68</v>
      </c>
      <c r="H11" s="4" t="s">
        <v>65</v>
      </c>
      <c r="I11" cm="1">
        <f t="array" ref="I11">_xlfn.LET(
_xlpm.id,A11,
_xlpm.events,_xlfn._xlws.FILTER($G$2:$G$136,$A$2:$A$136=_xlpm.id),
ROWS(_xlfn.UNIQUE(_xlpm.events))
)</f>
        <v>2</v>
      </c>
      <c r="J11" s="4" t="str" cm="1">
        <f t="array" ref="J11">IF(G11="","",_xlfn.LET(
_xlpm.events,_xlfn.UNIQUE(_xlfn._xlws.FILTER($G$2:$G$136,$G$2:$G$136&lt;&gt;"")),
"E"&amp;TEXT(_xlfn.XMATCH(G11,_xlpm.events,0),"00")
))</f>
        <v>E05</v>
      </c>
    </row>
    <row r="12" spans="1:10" ht="86.4">
      <c r="A12" s="11" t="s">
        <v>13</v>
      </c>
      <c r="B12" s="5">
        <v>45719</v>
      </c>
      <c r="C12" s="5">
        <v>45747</v>
      </c>
      <c r="D12" s="4">
        <v>2</v>
      </c>
      <c r="E12" s="5">
        <v>45729</v>
      </c>
      <c r="F12" s="4">
        <v>254.81291198730469</v>
      </c>
      <c r="G12" s="4" t="s">
        <v>68</v>
      </c>
      <c r="H12" s="4" t="s">
        <v>65</v>
      </c>
      <c r="I12" cm="1">
        <f t="array" ref="I12">_xlfn.LET(
_xlpm.id,A12,
_xlpm.events,_xlfn._xlws.FILTER($G$2:$G$136,$A$2:$A$136=_xlpm.id),
ROWS(_xlfn.UNIQUE(_xlpm.events))
)</f>
        <v>2</v>
      </c>
      <c r="J12" s="4" t="str" cm="1">
        <f t="array" ref="J12">IF(G12="","",_xlfn.LET(
_xlpm.events,_xlfn.UNIQUE(_xlfn._xlws.FILTER($G$2:$G$136,$G$2:$G$136&lt;&gt;"")),
"E"&amp;TEXT(_xlfn.XMATCH(G12,_xlpm.events,0),"00")
))</f>
        <v>E05</v>
      </c>
    </row>
    <row r="13" spans="1:10" ht="86.4">
      <c r="A13" s="11" t="s">
        <v>13</v>
      </c>
      <c r="B13" s="5">
        <v>45719</v>
      </c>
      <c r="C13" s="5">
        <v>45747</v>
      </c>
      <c r="D13" s="4">
        <v>3</v>
      </c>
      <c r="E13" s="5">
        <v>45720</v>
      </c>
      <c r="F13" s="4">
        <v>253.45268249511719</v>
      </c>
      <c r="G13" s="4" t="s">
        <v>69</v>
      </c>
      <c r="H13" s="4" t="s">
        <v>65</v>
      </c>
      <c r="I13" cm="1">
        <f t="array" ref="I13">_xlfn.LET(
_xlpm.id,A13,
_xlpm.events,_xlfn._xlws.FILTER($G$2:$G$136,$A$2:$A$136=_xlpm.id),
ROWS(_xlfn.UNIQUE(_xlpm.events))
)</f>
        <v>2</v>
      </c>
      <c r="J13" s="4" t="str" cm="1">
        <f t="array" ref="J13">IF(G13="","",_xlfn.LET(
_xlpm.events,_xlfn.UNIQUE(_xlfn._xlws.FILTER($G$2:$G$136,$G$2:$G$136&lt;&gt;"")),
"E"&amp;TEXT(_xlfn.XMATCH(G13,_xlpm.events,0),"00")
))</f>
        <v>E06</v>
      </c>
    </row>
    <row r="14" spans="1:10" ht="86.4">
      <c r="A14" s="11" t="s">
        <v>14</v>
      </c>
      <c r="B14" s="5">
        <v>46069</v>
      </c>
      <c r="C14" s="5">
        <v>46097</v>
      </c>
      <c r="D14" s="4">
        <v>1</v>
      </c>
      <c r="E14" s="5">
        <v>46085</v>
      </c>
      <c r="F14" s="4">
        <v>465.91864013671875</v>
      </c>
      <c r="G14" s="4" t="s">
        <v>70</v>
      </c>
      <c r="H14" s="4" t="s">
        <v>65</v>
      </c>
      <c r="I14" cm="1">
        <f t="array" ref="I14">_xlfn.LET(
_xlpm.id,A14,
_xlpm.events,_xlfn._xlws.FILTER($G$2:$G$136,$A$2:$A$136=_xlpm.id),
ROWS(_xlfn.UNIQUE(_xlpm.events))
)</f>
        <v>1</v>
      </c>
      <c r="J14" s="4" t="str" cm="1">
        <f t="array" ref="J14">IF(G14="","",_xlfn.LET(
_xlpm.events,_xlfn.UNIQUE(_xlfn._xlws.FILTER($G$2:$G$136,$G$2:$G$136&lt;&gt;"")),
"E"&amp;TEXT(_xlfn.XMATCH(G14,_xlpm.events,0),"00")
))</f>
        <v>E07</v>
      </c>
    </row>
    <row r="15" spans="1:10" ht="86.4">
      <c r="A15" s="11" t="s">
        <v>14</v>
      </c>
      <c r="B15" s="5">
        <v>46069</v>
      </c>
      <c r="C15" s="5">
        <v>46097</v>
      </c>
      <c r="D15" s="4">
        <v>2</v>
      </c>
      <c r="E15" s="5">
        <v>46091</v>
      </c>
      <c r="F15" s="4">
        <v>457.110595703125</v>
      </c>
      <c r="G15" s="4" t="s">
        <v>70</v>
      </c>
      <c r="H15" s="4" t="s">
        <v>65</v>
      </c>
      <c r="I15" cm="1">
        <f t="array" ref="I15">_xlfn.LET(
_xlpm.id,A15,
_xlpm.events,_xlfn._xlws.FILTER($G$2:$G$136,$A$2:$A$136=_xlpm.id),
ROWS(_xlfn.UNIQUE(_xlpm.events))
)</f>
        <v>1</v>
      </c>
      <c r="J15" s="4" t="str" cm="1">
        <f t="array" ref="J15">IF(G15="","",_xlfn.LET(
_xlpm.events,_xlfn.UNIQUE(_xlfn._xlws.FILTER($G$2:$G$136,$G$2:$G$136&lt;&gt;"")),
"E"&amp;TEXT(_xlfn.XMATCH(G15,_xlpm.events,0),"00")
))</f>
        <v>E07</v>
      </c>
    </row>
    <row r="16" spans="1:10" ht="86.4">
      <c r="A16" s="11" t="s">
        <v>14</v>
      </c>
      <c r="B16" s="5">
        <v>46069</v>
      </c>
      <c r="C16" s="5">
        <v>46097</v>
      </c>
      <c r="D16" s="4">
        <v>3</v>
      </c>
      <c r="E16" s="5">
        <v>46086</v>
      </c>
      <c r="F16" s="4">
        <v>413.3631591796875</v>
      </c>
      <c r="G16" s="4" t="s">
        <v>70</v>
      </c>
      <c r="H16" s="4" t="s">
        <v>65</v>
      </c>
      <c r="I16" cm="1">
        <f t="array" ref="I16">_xlfn.LET(
_xlpm.id,A16,
_xlpm.events,_xlfn._xlws.FILTER($G$2:$G$136,$A$2:$A$136=_xlpm.id),
ROWS(_xlfn.UNIQUE(_xlpm.events))
)</f>
        <v>1</v>
      </c>
      <c r="J16" s="4" t="str" cm="1">
        <f t="array" ref="J16">IF(G16="","",_xlfn.LET(
_xlpm.events,_xlfn.UNIQUE(_xlfn._xlws.FILTER($G$2:$G$136,$G$2:$G$136&lt;&gt;"")),
"E"&amp;TEXT(_xlfn.XMATCH(G16,_xlpm.events,0),"00")
))</f>
        <v>E07</v>
      </c>
    </row>
    <row r="17" spans="1:10" ht="86.4">
      <c r="A17" s="11" t="s">
        <v>15</v>
      </c>
      <c r="B17" s="5">
        <v>42307</v>
      </c>
      <c r="C17" s="5">
        <v>42355</v>
      </c>
      <c r="D17" s="4">
        <v>1</v>
      </c>
      <c r="E17" s="5">
        <v>42325</v>
      </c>
      <c r="F17" s="4">
        <v>354.0518798828125</v>
      </c>
      <c r="G17" s="4" t="s">
        <v>64</v>
      </c>
      <c r="H17" s="4" t="s">
        <v>65</v>
      </c>
      <c r="I17" cm="1">
        <f t="array" ref="I17">_xlfn.LET(
_xlpm.id,A17,
_xlpm.events,_xlfn._xlws.FILTER($G$2:$G$136,$A$2:$A$136=_xlpm.id),
ROWS(_xlfn.UNIQUE(_xlpm.events))
)</f>
        <v>2</v>
      </c>
      <c r="J17" s="4" t="str" cm="1">
        <f t="array" ref="J17">IF(G17="","",_xlfn.LET(
_xlpm.events,_xlfn.UNIQUE(_xlfn._xlws.FILTER($G$2:$G$136,$G$2:$G$136&lt;&gt;"")),
"E"&amp;TEXT(_xlfn.XMATCH(G17,_xlpm.events,0),"00")
))</f>
        <v>E02</v>
      </c>
    </row>
    <row r="18" spans="1:10" ht="86.4">
      <c r="A18" s="11" t="s">
        <v>15</v>
      </c>
      <c r="B18" s="5">
        <v>42307</v>
      </c>
      <c r="C18" s="5">
        <v>42355</v>
      </c>
      <c r="D18" s="4">
        <v>2</v>
      </c>
      <c r="E18" s="5">
        <v>42326</v>
      </c>
      <c r="F18" s="4">
        <v>309.495361328125</v>
      </c>
      <c r="G18" s="4" t="s">
        <v>64</v>
      </c>
      <c r="H18" s="4" t="s">
        <v>65</v>
      </c>
      <c r="I18" cm="1">
        <f t="array" ref="I18">_xlfn.LET(
_xlpm.id,A18,
_xlpm.events,_xlfn._xlws.FILTER($G$2:$G$136,$A$2:$A$136=_xlpm.id),
ROWS(_xlfn.UNIQUE(_xlpm.events))
)</f>
        <v>2</v>
      </c>
      <c r="J18" s="4" t="str" cm="1">
        <f t="array" ref="J18">IF(G18="","",_xlfn.LET(
_xlpm.events,_xlfn.UNIQUE(_xlfn._xlws.FILTER($G$2:$G$136,$G$2:$G$136&lt;&gt;"")),
"E"&amp;TEXT(_xlfn.XMATCH(G18,_xlpm.events,0),"00")
))</f>
        <v>E02</v>
      </c>
    </row>
    <row r="19" spans="1:10" ht="86.4">
      <c r="A19" s="11" t="s">
        <v>15</v>
      </c>
      <c r="B19" s="5">
        <v>42307</v>
      </c>
      <c r="C19" s="5">
        <v>42355</v>
      </c>
      <c r="D19" s="4">
        <v>3</v>
      </c>
      <c r="E19" s="5">
        <v>42333</v>
      </c>
      <c r="F19" s="4">
        <v>247.6171875</v>
      </c>
      <c r="G19" s="4" t="s">
        <v>66</v>
      </c>
      <c r="H19" s="4" t="s">
        <v>65</v>
      </c>
      <c r="I19" cm="1">
        <f t="array" ref="I19">_xlfn.LET(
_xlpm.id,A19,
_xlpm.events,_xlfn._xlws.FILTER($G$2:$G$136,$A$2:$A$136=_xlpm.id),
ROWS(_xlfn.UNIQUE(_xlpm.events))
)</f>
        <v>2</v>
      </c>
      <c r="J19" s="4" t="str" cm="1">
        <f t="array" ref="J19">IF(G19="","",_xlfn.LET(
_xlpm.events,_xlfn.UNIQUE(_xlfn._xlws.FILTER($G$2:$G$136,$G$2:$G$136&lt;&gt;"")),
"E"&amp;TEXT(_xlfn.XMATCH(G19,_xlpm.events,0),"00")
))</f>
        <v>E03</v>
      </c>
    </row>
    <row r="20" spans="1:10" ht="86.4">
      <c r="A20" s="11" t="s">
        <v>16</v>
      </c>
      <c r="B20" s="5">
        <v>42874</v>
      </c>
      <c r="C20" s="5">
        <v>42901</v>
      </c>
      <c r="D20" s="4">
        <v>1</v>
      </c>
      <c r="E20" s="5">
        <v>42893</v>
      </c>
      <c r="F20" s="4">
        <v>245.95683288574219</v>
      </c>
      <c r="G20" s="4" t="s">
        <v>71</v>
      </c>
      <c r="H20" s="4" t="s">
        <v>65</v>
      </c>
      <c r="I20" cm="1">
        <f t="array" ref="I20">_xlfn.LET(
_xlpm.id,A20,
_xlpm.events,_xlfn._xlws.FILTER($G$2:$G$136,$A$2:$A$136=_xlpm.id),
ROWS(_xlfn.UNIQUE(_xlpm.events))
)</f>
        <v>2</v>
      </c>
      <c r="J20" s="4" t="str" cm="1">
        <f t="array" ref="J20">IF(G20="","",_xlfn.LET(
_xlpm.events,_xlfn.UNIQUE(_xlfn._xlws.FILTER($G$2:$G$136,$G$2:$G$136&lt;&gt;"")),
"E"&amp;TEXT(_xlfn.XMATCH(G20,_xlpm.events,0),"00")
))</f>
        <v>E08</v>
      </c>
    </row>
    <row r="21" spans="1:10" ht="86.4">
      <c r="A21" s="11" t="s">
        <v>16</v>
      </c>
      <c r="B21" s="5">
        <v>42874</v>
      </c>
      <c r="C21" s="5">
        <v>42901</v>
      </c>
      <c r="D21" s="4">
        <v>2</v>
      </c>
      <c r="E21" s="5">
        <v>42892</v>
      </c>
      <c r="F21" s="4">
        <v>227.27735900878906</v>
      </c>
      <c r="G21" s="4" t="s">
        <v>72</v>
      </c>
      <c r="H21" s="4" t="s">
        <v>65</v>
      </c>
      <c r="I21" cm="1">
        <f t="array" ref="I21">_xlfn.LET(
_xlpm.id,A21,
_xlpm.events,_xlfn._xlws.FILTER($G$2:$G$136,$A$2:$A$136=_xlpm.id),
ROWS(_xlfn.UNIQUE(_xlpm.events))
)</f>
        <v>2</v>
      </c>
      <c r="J21" s="4" t="str" cm="1">
        <f t="array" ref="J21">IF(G21="","",_xlfn.LET(
_xlpm.events,_xlfn.UNIQUE(_xlfn._xlws.FILTER($G$2:$G$136,$G$2:$G$136&lt;&gt;"")),
"E"&amp;TEXT(_xlfn.XMATCH(G21,_xlpm.events,0),"00")
))</f>
        <v>E09</v>
      </c>
    </row>
    <row r="22" spans="1:10" ht="86.4">
      <c r="A22" s="11" t="s">
        <v>16</v>
      </c>
      <c r="B22" s="5">
        <v>42874</v>
      </c>
      <c r="C22" s="5">
        <v>42901</v>
      </c>
      <c r="D22" s="4">
        <v>3</v>
      </c>
      <c r="E22" s="5">
        <v>42881</v>
      </c>
      <c r="F22" s="4">
        <v>218.0687255859375</v>
      </c>
      <c r="G22" s="4" t="s">
        <v>72</v>
      </c>
      <c r="H22" s="4" t="s">
        <v>65</v>
      </c>
      <c r="I22" cm="1">
        <f t="array" ref="I22">_xlfn.LET(
_xlpm.id,A22,
_xlpm.events,_xlfn._xlws.FILTER($G$2:$G$136,$A$2:$A$136=_xlpm.id),
ROWS(_xlfn.UNIQUE(_xlpm.events))
)</f>
        <v>2</v>
      </c>
      <c r="J22" s="4" t="str" cm="1">
        <f t="array" ref="J22">IF(G22="","",_xlfn.LET(
_xlpm.events,_xlfn.UNIQUE(_xlfn._xlws.FILTER($G$2:$G$136,$G$2:$G$136&lt;&gt;"")),
"E"&amp;TEXT(_xlfn.XMATCH(G22,_xlpm.events,0),"00")
))</f>
        <v>E09</v>
      </c>
    </row>
    <row r="23" spans="1:10" ht="86.4">
      <c r="A23" s="11" t="s">
        <v>17</v>
      </c>
      <c r="B23" s="5">
        <v>43728</v>
      </c>
      <c r="C23" s="5">
        <v>43746</v>
      </c>
      <c r="D23" s="4">
        <v>1</v>
      </c>
      <c r="E23" s="5">
        <v>43728</v>
      </c>
      <c r="F23" s="4">
        <v>126.9625244140625</v>
      </c>
      <c r="G23" s="4" t="s">
        <v>73</v>
      </c>
      <c r="H23" s="4" t="s">
        <v>65</v>
      </c>
      <c r="I23" cm="1">
        <f t="array" ref="I23">_xlfn.LET(
_xlpm.id,A23,
_xlpm.events,_xlfn._xlws.FILTER($G$2:$G$136,$A$2:$A$136=_xlpm.id),
ROWS(_xlfn.UNIQUE(_xlpm.events))
)</f>
        <v>2</v>
      </c>
      <c r="J23" s="4" t="str" cm="1">
        <f t="array" ref="J23">IF(G23="","",_xlfn.LET(
_xlpm.events,_xlfn.UNIQUE(_xlfn._xlws.FILTER($G$2:$G$136,$G$2:$G$136&lt;&gt;"")),
"E"&amp;TEXT(_xlfn.XMATCH(G23,_xlpm.events,0),"00")
))</f>
        <v>E10</v>
      </c>
    </row>
    <row r="24" spans="1:10" ht="86.4">
      <c r="A24" s="11" t="s">
        <v>17</v>
      </c>
      <c r="B24" s="5">
        <v>43728</v>
      </c>
      <c r="C24" s="5">
        <v>43746</v>
      </c>
      <c r="D24" s="4">
        <v>2</v>
      </c>
      <c r="E24" s="5">
        <v>43733</v>
      </c>
      <c r="F24" s="4">
        <v>124.11428833007813</v>
      </c>
      <c r="G24" s="4" t="s">
        <v>73</v>
      </c>
      <c r="H24" s="4" t="s">
        <v>65</v>
      </c>
      <c r="I24" cm="1">
        <f t="array" ref="I24">_xlfn.LET(
_xlpm.id,A24,
_xlpm.events,_xlfn._xlws.FILTER($G$2:$G$136,$A$2:$A$136=_xlpm.id),
ROWS(_xlfn.UNIQUE(_xlpm.events))
)</f>
        <v>2</v>
      </c>
      <c r="J24" s="4" t="str" cm="1">
        <f t="array" ref="J24">IF(G24="","",_xlfn.LET(
_xlpm.events,_xlfn.UNIQUE(_xlfn._xlws.FILTER($G$2:$G$136,$G$2:$G$136&lt;&gt;"")),
"E"&amp;TEXT(_xlfn.XMATCH(G24,_xlpm.events,0),"00")
))</f>
        <v>E10</v>
      </c>
    </row>
    <row r="25" spans="1:10" ht="86.4">
      <c r="A25" s="11" t="s">
        <v>17</v>
      </c>
      <c r="B25" s="5">
        <v>43728</v>
      </c>
      <c r="C25" s="5">
        <v>43746</v>
      </c>
      <c r="D25" s="4">
        <v>3</v>
      </c>
      <c r="E25" s="5">
        <v>43746</v>
      </c>
      <c r="F25" s="4">
        <v>118.77732849121094</v>
      </c>
      <c r="G25" s="4" t="s">
        <v>74</v>
      </c>
      <c r="H25" s="4" t="s">
        <v>65</v>
      </c>
      <c r="I25" cm="1">
        <f t="array" ref="I25">_xlfn.LET(
_xlpm.id,A25,
_xlpm.events,_xlfn._xlws.FILTER($G$2:$G$136,$A$2:$A$136=_xlpm.id),
ROWS(_xlfn.UNIQUE(_xlpm.events))
)</f>
        <v>2</v>
      </c>
      <c r="J25" s="4" t="str" cm="1">
        <f t="array" ref="J25">IF(G25="","",_xlfn.LET(
_xlpm.events,_xlfn.UNIQUE(_xlfn._xlws.FILTER($G$2:$G$136,$G$2:$G$136&lt;&gt;"")),
"E"&amp;TEXT(_xlfn.XMATCH(G25,_xlpm.events,0),"00")
))</f>
        <v>E11</v>
      </c>
    </row>
    <row r="26" spans="1:10" ht="86.4">
      <c r="A26" s="11" t="s">
        <v>18</v>
      </c>
      <c r="B26" s="5">
        <v>45062</v>
      </c>
      <c r="C26" s="5">
        <v>45077</v>
      </c>
      <c r="D26" s="4">
        <v>1</v>
      </c>
      <c r="E26" s="5">
        <v>45077</v>
      </c>
      <c r="F26" s="4">
        <v>219.58306884765625</v>
      </c>
      <c r="G26" s="4" t="s">
        <v>75</v>
      </c>
      <c r="H26" s="4" t="s">
        <v>65</v>
      </c>
      <c r="I26" cm="1">
        <f t="array" ref="I26">_xlfn.LET(
_xlpm.id,A26,
_xlpm.events,_xlfn._xlws.FILTER($G$2:$G$136,$A$2:$A$136=_xlpm.id),
ROWS(_xlfn.UNIQUE(_xlpm.events))
)</f>
        <v>1</v>
      </c>
      <c r="J26" s="4" t="str" cm="1">
        <f t="array" ref="J26">IF(G26="","",_xlfn.LET(
_xlpm.events,_xlfn.UNIQUE(_xlfn._xlws.FILTER($G$2:$G$136,$G$2:$G$136&lt;&gt;"")),
"E"&amp;TEXT(_xlfn.XMATCH(G26,_xlpm.events,0),"00")
))</f>
        <v>E12</v>
      </c>
    </row>
    <row r="27" spans="1:10" ht="86.4">
      <c r="A27" s="11" t="s">
        <v>18</v>
      </c>
      <c r="B27" s="5">
        <v>45062</v>
      </c>
      <c r="C27" s="5">
        <v>45077</v>
      </c>
      <c r="D27" s="4">
        <v>2</v>
      </c>
      <c r="E27" s="5">
        <v>45069</v>
      </c>
      <c r="F27" s="4">
        <v>183.69136047363281</v>
      </c>
      <c r="G27" s="4" t="s">
        <v>75</v>
      </c>
      <c r="H27" s="4" t="s">
        <v>65</v>
      </c>
      <c r="I27" cm="1">
        <f t="array" ref="I27">_xlfn.LET(
_xlpm.id,A27,
_xlpm.events,_xlfn._xlws.FILTER($G$2:$G$136,$A$2:$A$136=_xlpm.id),
ROWS(_xlfn.UNIQUE(_xlpm.events))
)</f>
        <v>1</v>
      </c>
      <c r="J27" s="4" t="str" cm="1">
        <f t="array" ref="J27">IF(G27="","",_xlfn.LET(
_xlpm.events,_xlfn.UNIQUE(_xlfn._xlws.FILTER($G$2:$G$136,$G$2:$G$136&lt;&gt;"")),
"E"&amp;TEXT(_xlfn.XMATCH(G27,_xlpm.events,0),"00")
))</f>
        <v>E12</v>
      </c>
    </row>
    <row r="28" spans="1:10" ht="86.4">
      <c r="A28" s="11" t="s">
        <v>18</v>
      </c>
      <c r="B28" s="5">
        <v>45062</v>
      </c>
      <c r="C28" s="5">
        <v>45077</v>
      </c>
      <c r="D28" s="4">
        <v>3</v>
      </c>
      <c r="E28" s="5">
        <v>45065</v>
      </c>
      <c r="F28" s="4">
        <v>160.85305786132813</v>
      </c>
      <c r="G28" s="4" t="s">
        <v>75</v>
      </c>
      <c r="H28" s="4" t="s">
        <v>65</v>
      </c>
      <c r="I28" cm="1">
        <f t="array" ref="I28">_xlfn.LET(
_xlpm.id,A28,
_xlpm.events,_xlfn._xlws.FILTER($G$2:$G$136,$A$2:$A$136=_xlpm.id),
ROWS(_xlfn.UNIQUE(_xlpm.events))
)</f>
        <v>1</v>
      </c>
      <c r="J28" s="4" t="str" cm="1">
        <f t="array" ref="J28">IF(G28="","",_xlfn.LET(
_xlpm.events,_xlfn.UNIQUE(_xlfn._xlws.FILTER($G$2:$G$136,$G$2:$G$136&lt;&gt;"")),
"E"&amp;TEXT(_xlfn.XMATCH(G28,_xlpm.events,0),"00")
))</f>
        <v>E12</v>
      </c>
    </row>
    <row r="29" spans="1:10" ht="86.4">
      <c r="A29" s="11" t="s">
        <v>19</v>
      </c>
      <c r="B29" s="5">
        <v>46064</v>
      </c>
      <c r="C29" s="5">
        <v>46104</v>
      </c>
      <c r="D29" s="4">
        <v>1</v>
      </c>
      <c r="E29" s="5">
        <v>46085</v>
      </c>
      <c r="F29" s="4">
        <v>465.91864013671875</v>
      </c>
      <c r="G29" s="4" t="s">
        <v>70</v>
      </c>
      <c r="H29" s="4" t="s">
        <v>65</v>
      </c>
      <c r="I29" cm="1">
        <f t="array" ref="I29">_xlfn.LET(
_xlpm.id,A29,
_xlpm.events,_xlfn._xlws.FILTER($G$2:$G$136,$A$2:$A$136=_xlpm.id),
ROWS(_xlfn.UNIQUE(_xlpm.events))
)</f>
        <v>1</v>
      </c>
      <c r="J29" s="4" t="str" cm="1">
        <f t="array" ref="J29">IF(G29="","",_xlfn.LET(
_xlpm.events,_xlfn.UNIQUE(_xlfn._xlws.FILTER($G$2:$G$136,$G$2:$G$136&lt;&gt;"")),
"E"&amp;TEXT(_xlfn.XMATCH(G29,_xlpm.events,0),"00")
))</f>
        <v>E07</v>
      </c>
    </row>
    <row r="30" spans="1:10" ht="86.4">
      <c r="A30" s="11" t="s">
        <v>19</v>
      </c>
      <c r="B30" s="5">
        <v>46064</v>
      </c>
      <c r="C30" s="5">
        <v>46104</v>
      </c>
      <c r="D30" s="4">
        <v>2</v>
      </c>
      <c r="E30" s="5">
        <v>46091</v>
      </c>
      <c r="F30" s="4">
        <v>457.110595703125</v>
      </c>
      <c r="G30" s="4" t="s">
        <v>70</v>
      </c>
      <c r="H30" s="4" t="s">
        <v>65</v>
      </c>
      <c r="I30" cm="1">
        <f t="array" ref="I30">_xlfn.LET(
_xlpm.id,A30,
_xlpm.events,_xlfn._xlws.FILTER($G$2:$G$136,$A$2:$A$136=_xlpm.id),
ROWS(_xlfn.UNIQUE(_xlpm.events))
)</f>
        <v>1</v>
      </c>
      <c r="J30" s="4" t="str" cm="1">
        <f t="array" ref="J30">IF(G30="","",_xlfn.LET(
_xlpm.events,_xlfn.UNIQUE(_xlfn._xlws.FILTER($G$2:$G$136,$G$2:$G$136&lt;&gt;"")),
"E"&amp;TEXT(_xlfn.XMATCH(G30,_xlpm.events,0),"00")
))</f>
        <v>E07</v>
      </c>
    </row>
    <row r="31" spans="1:10" ht="86.4">
      <c r="A31" s="11" t="s">
        <v>19</v>
      </c>
      <c r="B31" s="5">
        <v>46064</v>
      </c>
      <c r="C31" s="5">
        <v>46104</v>
      </c>
      <c r="D31" s="4">
        <v>3</v>
      </c>
      <c r="E31" s="5">
        <v>46086</v>
      </c>
      <c r="F31" s="4">
        <v>413.3631591796875</v>
      </c>
      <c r="G31" s="4" t="s">
        <v>70</v>
      </c>
      <c r="H31" s="4" t="s">
        <v>65</v>
      </c>
      <c r="I31" cm="1">
        <f t="array" ref="I31">_xlfn.LET(
_xlpm.id,A31,
_xlpm.events,_xlfn._xlws.FILTER($G$2:$G$136,$A$2:$A$136=_xlpm.id),
ROWS(_xlfn.UNIQUE(_xlpm.events))
)</f>
        <v>1</v>
      </c>
      <c r="J31" s="4" t="str" cm="1">
        <f t="array" ref="J31">IF(G31="","",_xlfn.LET(
_xlpm.events,_xlfn.UNIQUE(_xlfn._xlws.FILTER($G$2:$G$136,$G$2:$G$136&lt;&gt;"")),
"E"&amp;TEXT(_xlfn.XMATCH(G31,_xlpm.events,0),"00")
))</f>
        <v>E07</v>
      </c>
    </row>
    <row r="32" spans="1:10" ht="86.4">
      <c r="A32" s="11" t="s">
        <v>20</v>
      </c>
      <c r="B32" s="5">
        <v>44309</v>
      </c>
      <c r="C32" s="5">
        <v>44334</v>
      </c>
      <c r="D32" s="4">
        <v>1</v>
      </c>
      <c r="E32" s="5">
        <v>44309</v>
      </c>
      <c r="F32" s="4">
        <v>146.73118591308594</v>
      </c>
      <c r="G32" s="4" t="s">
        <v>76</v>
      </c>
      <c r="H32" s="4" t="s">
        <v>65</v>
      </c>
      <c r="I32" cm="1">
        <f t="array" ref="I32">_xlfn.LET(
_xlpm.id,A32,
_xlpm.events,_xlfn._xlws.FILTER($G$2:$G$136,$A$2:$A$136=_xlpm.id),
ROWS(_xlfn.UNIQUE(_xlpm.events))
)</f>
        <v>2</v>
      </c>
      <c r="J32" s="4" t="str" cm="1">
        <f t="array" ref="J32">IF(G32="","",_xlfn.LET(
_xlpm.events,_xlfn.UNIQUE(_xlfn._xlws.FILTER($G$2:$G$136,$G$2:$G$136&lt;&gt;"")),
"E"&amp;TEXT(_xlfn.XMATCH(G32,_xlpm.events,0),"00")
))</f>
        <v>E13</v>
      </c>
    </row>
    <row r="33" spans="1:10" ht="28.8">
      <c r="A33" s="11" t="s">
        <v>20</v>
      </c>
      <c r="B33" s="5">
        <v>44309</v>
      </c>
      <c r="C33" s="5">
        <v>44334</v>
      </c>
      <c r="D33" s="4">
        <v>2</v>
      </c>
      <c r="E33" s="5">
        <v>44329</v>
      </c>
      <c r="F33" s="4">
        <v>140.43304443359375</v>
      </c>
      <c r="G33" s="4" t="s">
        <v>77</v>
      </c>
      <c r="H33" s="4" t="s">
        <v>63</v>
      </c>
      <c r="I33" cm="1">
        <f t="array" ref="I33">_xlfn.LET(
_xlpm.id,A33,
_xlpm.events,_xlfn._xlws.FILTER($G$2:$G$136,$A$2:$A$136=_xlpm.id),
ROWS(_xlfn.UNIQUE(_xlpm.events))
)</f>
        <v>2</v>
      </c>
      <c r="J33" s="4" t="str" cm="1">
        <f t="array" ref="J33">IF(G33="","",_xlfn.LET(
_xlpm.events,_xlfn.UNIQUE(_xlfn._xlws.FILTER($G$2:$G$136,$G$2:$G$136&lt;&gt;"")),
"E"&amp;TEXT(_xlfn.XMATCH(G33,_xlpm.events,0),"00")
))</f>
        <v>E14</v>
      </c>
    </row>
    <row r="34" spans="1:10" ht="28.8">
      <c r="A34" s="11" t="s">
        <v>20</v>
      </c>
      <c r="B34" s="5">
        <v>44309</v>
      </c>
      <c r="C34" s="5">
        <v>44334</v>
      </c>
      <c r="D34" s="4">
        <v>3</v>
      </c>
      <c r="E34" s="5">
        <v>44330</v>
      </c>
      <c r="F34" s="4">
        <v>115.36304473876953</v>
      </c>
      <c r="G34" s="4" t="s">
        <v>77</v>
      </c>
      <c r="H34" s="4" t="s">
        <v>63</v>
      </c>
      <c r="I34" cm="1">
        <f t="array" ref="I34">_xlfn.LET(
_xlpm.id,A34,
_xlpm.events,_xlfn._xlws.FILTER($G$2:$G$136,$A$2:$A$136=_xlpm.id),
ROWS(_xlfn.UNIQUE(_xlpm.events))
)</f>
        <v>2</v>
      </c>
      <c r="J34" s="4" t="str" cm="1">
        <f t="array" ref="J34">IF(G34="","",_xlfn.LET(
_xlpm.events,_xlfn.UNIQUE(_xlfn._xlws.FILTER($G$2:$G$136,$G$2:$G$136&lt;&gt;"")),
"E"&amp;TEXT(_xlfn.XMATCH(G34,_xlpm.events,0),"00")
))</f>
        <v>E14</v>
      </c>
    </row>
    <row r="35" spans="1:10" ht="86.4">
      <c r="A35" s="11" t="s">
        <v>21</v>
      </c>
      <c r="B35" s="5">
        <v>44334</v>
      </c>
      <c r="C35" s="5">
        <v>44369</v>
      </c>
      <c r="D35" s="4">
        <v>1</v>
      </c>
      <c r="E35" s="5">
        <v>44342</v>
      </c>
      <c r="F35" s="4">
        <v>176.61283874511719</v>
      </c>
      <c r="G35" s="4" t="s">
        <v>67</v>
      </c>
      <c r="H35" s="4" t="s">
        <v>65</v>
      </c>
      <c r="I35" cm="1">
        <f t="array" ref="I35">_xlfn.LET(
_xlpm.id,A35,
_xlpm.events,_xlfn._xlws.FILTER($G$2:$G$136,$A$2:$A$136=_xlpm.id),
ROWS(_xlfn.UNIQUE(_xlpm.events))
)</f>
        <v>1</v>
      </c>
      <c r="J35" s="4" t="str" cm="1">
        <f t="array" ref="J35">IF(G35="","",_xlfn.LET(
_xlpm.events,_xlfn.UNIQUE(_xlfn._xlws.FILTER($G$2:$G$136,$G$2:$G$136&lt;&gt;"")),
"E"&amp;TEXT(_xlfn.XMATCH(G35,_xlpm.events,0),"00")
))</f>
        <v>E04</v>
      </c>
    </row>
    <row r="36" spans="1:10" ht="86.4">
      <c r="A36" s="11" t="s">
        <v>21</v>
      </c>
      <c r="B36" s="5">
        <v>44334</v>
      </c>
      <c r="C36" s="5">
        <v>44369</v>
      </c>
      <c r="D36" s="4">
        <v>2</v>
      </c>
      <c r="E36" s="5">
        <v>44341</v>
      </c>
      <c r="F36" s="4">
        <v>170.94143676757813</v>
      </c>
      <c r="G36" s="4" t="s">
        <v>67</v>
      </c>
      <c r="H36" s="4" t="s">
        <v>65</v>
      </c>
      <c r="I36" cm="1">
        <f t="array" ref="I36">_xlfn.LET(
_xlpm.id,A36,
_xlpm.events,_xlfn._xlws.FILTER($G$2:$G$136,$A$2:$A$136=_xlpm.id),
ROWS(_xlfn.UNIQUE(_xlpm.events))
)</f>
        <v>1</v>
      </c>
      <c r="J36" s="4" t="str" cm="1">
        <f t="array" ref="J36">IF(G36="","",_xlfn.LET(
_xlpm.events,_xlfn.UNIQUE(_xlfn._xlws.FILTER($G$2:$G$136,$G$2:$G$136&lt;&gt;"")),
"E"&amp;TEXT(_xlfn.XMATCH(G36,_xlpm.events,0),"00")
))</f>
        <v>E04</v>
      </c>
    </row>
    <row r="37" spans="1:10" ht="86.4">
      <c r="A37" s="11" t="s">
        <v>21</v>
      </c>
      <c r="B37" s="5">
        <v>44334</v>
      </c>
      <c r="C37" s="5">
        <v>44369</v>
      </c>
      <c r="D37" s="4">
        <v>3</v>
      </c>
      <c r="E37" s="5">
        <v>44369</v>
      </c>
      <c r="F37" s="4">
        <v>170.60433959960938</v>
      </c>
      <c r="G37" s="4" t="s">
        <v>67</v>
      </c>
      <c r="H37" s="4" t="s">
        <v>65</v>
      </c>
      <c r="I37" cm="1">
        <f t="array" ref="I37">_xlfn.LET(
_xlpm.id,A37,
_xlpm.events,_xlfn._xlws.FILTER($G$2:$G$136,$A$2:$A$136=_xlpm.id),
ROWS(_xlfn.UNIQUE(_xlpm.events))
)</f>
        <v>1</v>
      </c>
      <c r="J37" s="4" t="str" cm="1">
        <f t="array" ref="J37">IF(G37="","",_xlfn.LET(
_xlpm.events,_xlfn.UNIQUE(_xlfn._xlws.FILTER($G$2:$G$136,$G$2:$G$136&lt;&gt;"")),
"E"&amp;TEXT(_xlfn.XMATCH(G37,_xlpm.events,0),"00")
))</f>
        <v>E04</v>
      </c>
    </row>
    <row r="38" spans="1:10" ht="43.2">
      <c r="A38" s="11" t="s">
        <v>22</v>
      </c>
      <c r="B38" s="5">
        <v>45215</v>
      </c>
      <c r="C38" s="5">
        <v>45251</v>
      </c>
      <c r="D38" s="4">
        <v>1</v>
      </c>
      <c r="E38" s="5">
        <v>45218</v>
      </c>
      <c r="F38" s="4">
        <v>338.85171508789063</v>
      </c>
      <c r="G38" s="4" t="s">
        <v>78</v>
      </c>
      <c r="H38" s="4" t="s">
        <v>63</v>
      </c>
      <c r="I38" cm="1">
        <f t="array" ref="I38">_xlfn.LET(
_xlpm.id,A38,
_xlpm.events,_xlfn._xlws.FILTER($G$2:$G$136,$A$2:$A$136=_xlpm.id),
ROWS(_xlfn.UNIQUE(_xlpm.events))
)</f>
        <v>1</v>
      </c>
      <c r="J38" s="4" t="str" cm="1">
        <f t="array" ref="J38">IF(G38="","",_xlfn.LET(
_xlpm.events,_xlfn.UNIQUE(_xlfn._xlws.FILTER($G$2:$G$136,$G$2:$G$136&lt;&gt;"")),
"E"&amp;TEXT(_xlfn.XMATCH(G38,_xlpm.events,0),"00")
))</f>
        <v>E15</v>
      </c>
    </row>
    <row r="39" spans="1:10" ht="43.2">
      <c r="A39" s="11" t="s">
        <v>22</v>
      </c>
      <c r="B39" s="5">
        <v>45215</v>
      </c>
      <c r="C39" s="5">
        <v>45251</v>
      </c>
      <c r="D39" s="4">
        <v>2</v>
      </c>
      <c r="E39" s="5">
        <v>45217</v>
      </c>
      <c r="F39" s="4">
        <v>333.00942993164063</v>
      </c>
      <c r="G39" s="4" t="s">
        <v>78</v>
      </c>
      <c r="H39" s="4" t="s">
        <v>63</v>
      </c>
      <c r="I39" cm="1">
        <f t="array" ref="I39">_xlfn.LET(
_xlpm.id,A39,
_xlpm.events,_xlfn._xlws.FILTER($G$2:$G$136,$A$2:$A$136=_xlpm.id),
ROWS(_xlfn.UNIQUE(_xlpm.events))
)</f>
        <v>1</v>
      </c>
      <c r="J39" s="4" t="str" cm="1">
        <f t="array" ref="J39">IF(G39="","",_xlfn.LET(
_xlpm.events,_xlfn.UNIQUE(_xlfn._xlws.FILTER($G$2:$G$136,$G$2:$G$136&lt;&gt;"")),
"E"&amp;TEXT(_xlfn.XMATCH(G39,_xlpm.events,0),"00")
))</f>
        <v>E15</v>
      </c>
    </row>
    <row r="40" spans="1:10" ht="43.2">
      <c r="A40" s="11" t="s">
        <v>22</v>
      </c>
      <c r="B40" s="5">
        <v>45215</v>
      </c>
      <c r="C40" s="5">
        <v>45251</v>
      </c>
      <c r="D40" s="4">
        <v>3</v>
      </c>
      <c r="E40" s="5">
        <v>45219</v>
      </c>
      <c r="F40" s="4">
        <v>298.62881469726563</v>
      </c>
      <c r="G40" s="4" t="s">
        <v>78</v>
      </c>
      <c r="H40" s="4" t="s">
        <v>63</v>
      </c>
      <c r="I40" cm="1">
        <f t="array" ref="I40">_xlfn.LET(
_xlpm.id,A40,
_xlpm.events,_xlfn._xlws.FILTER($G$2:$G$136,$A$2:$A$136=_xlpm.id),
ROWS(_xlfn.UNIQUE(_xlpm.events))
)</f>
        <v>1</v>
      </c>
      <c r="J40" s="4" t="str" cm="1">
        <f t="array" ref="J40">IF(G40="","",_xlfn.LET(
_xlpm.events,_xlfn.UNIQUE(_xlfn._xlws.FILTER($G$2:$G$136,$G$2:$G$136&lt;&gt;"")),
"E"&amp;TEXT(_xlfn.XMATCH(G40,_xlpm.events,0),"00")
))</f>
        <v>E15</v>
      </c>
    </row>
    <row r="41" spans="1:10" ht="28.8">
      <c r="A41" s="11" t="s">
        <v>23</v>
      </c>
      <c r="B41" s="5">
        <v>45805</v>
      </c>
      <c r="C41" s="5">
        <v>45821</v>
      </c>
      <c r="D41" s="4">
        <v>1</v>
      </c>
      <c r="E41" s="5">
        <v>45813</v>
      </c>
      <c r="F41" s="4">
        <v>245.16421508789063</v>
      </c>
      <c r="G41" s="4" t="s">
        <v>79</v>
      </c>
      <c r="H41" s="4" t="s">
        <v>63</v>
      </c>
      <c r="I41" cm="1">
        <f t="array" ref="I41">_xlfn.LET(
_xlpm.id,A41,
_xlpm.events,_xlfn._xlws.FILTER($G$2:$G$136,$A$2:$A$136=_xlpm.id),
ROWS(_xlfn.UNIQUE(_xlpm.events))
)</f>
        <v>1</v>
      </c>
      <c r="J41" s="4" t="str" cm="1">
        <f t="array" ref="J41">IF(G41="","",_xlfn.LET(
_xlpm.events,_xlfn.UNIQUE(_xlfn._xlws.FILTER($G$2:$G$136,$G$2:$G$136&lt;&gt;"")),
"E"&amp;TEXT(_xlfn.XMATCH(G41,_xlpm.events,0),"00")
))</f>
        <v>E16</v>
      </c>
    </row>
    <row r="42" spans="1:10" ht="28.8">
      <c r="A42" s="11" t="s">
        <v>23</v>
      </c>
      <c r="B42" s="5">
        <v>45805</v>
      </c>
      <c r="C42" s="5">
        <v>45821</v>
      </c>
      <c r="D42" s="4">
        <v>2</v>
      </c>
      <c r="E42" s="5">
        <v>45805</v>
      </c>
      <c r="F42" s="4">
        <v>228.03907775878906</v>
      </c>
      <c r="G42" s="4" t="s">
        <v>79</v>
      </c>
      <c r="H42" s="4" t="s">
        <v>63</v>
      </c>
      <c r="I42" cm="1">
        <f t="array" ref="I42">_xlfn.LET(
_xlpm.id,A42,
_xlpm.events,_xlfn._xlws.FILTER($G$2:$G$136,$A$2:$A$136=_xlpm.id),
ROWS(_xlfn.UNIQUE(_xlpm.events))
)</f>
        <v>1</v>
      </c>
      <c r="J42" s="4" t="str" cm="1">
        <f t="array" ref="J42">IF(G42="","",_xlfn.LET(
_xlpm.events,_xlfn.UNIQUE(_xlfn._xlws.FILTER($G$2:$G$136,$G$2:$G$136&lt;&gt;"")),
"E"&amp;TEXT(_xlfn.XMATCH(G42,_xlpm.events,0),"00")
))</f>
        <v>E16</v>
      </c>
    </row>
    <row r="43" spans="1:10" ht="28.8">
      <c r="A43" s="11" t="s">
        <v>23</v>
      </c>
      <c r="B43" s="5">
        <v>45805</v>
      </c>
      <c r="C43" s="5">
        <v>45821</v>
      </c>
      <c r="D43" s="4">
        <v>3</v>
      </c>
      <c r="E43" s="5">
        <v>45811</v>
      </c>
      <c r="F43" s="4">
        <v>205.09330749511719</v>
      </c>
      <c r="G43" s="4" t="s">
        <v>79</v>
      </c>
      <c r="H43" s="4" t="s">
        <v>63</v>
      </c>
      <c r="I43" cm="1">
        <f t="array" ref="I43">_xlfn.LET(
_xlpm.id,A43,
_xlpm.events,_xlfn._xlws.FILTER($G$2:$G$136,$A$2:$A$136=_xlpm.id),
ROWS(_xlfn.UNIQUE(_xlpm.events))
)</f>
        <v>1</v>
      </c>
      <c r="J43" s="4" t="str" cm="1">
        <f t="array" ref="J43">IF(G43="","",_xlfn.LET(
_xlpm.events,_xlfn.UNIQUE(_xlfn._xlws.FILTER($G$2:$G$136,$G$2:$G$136&lt;&gt;"")),
"E"&amp;TEXT(_xlfn.XMATCH(G43,_xlpm.events,0),"00")
))</f>
        <v>E16</v>
      </c>
    </row>
    <row r="44" spans="1:10" ht="86.4">
      <c r="A44" s="11" t="s">
        <v>24</v>
      </c>
      <c r="B44" s="5">
        <v>46057</v>
      </c>
      <c r="C44" s="5">
        <v>46155</v>
      </c>
      <c r="D44" s="4">
        <v>1</v>
      </c>
      <c r="E44" s="5">
        <v>46085</v>
      </c>
      <c r="F44" s="4">
        <v>465.91864013671875</v>
      </c>
      <c r="G44" s="4" t="s">
        <v>70</v>
      </c>
      <c r="H44" s="4" t="s">
        <v>65</v>
      </c>
      <c r="I44" cm="1">
        <f t="array" ref="I44">_xlfn.LET(
_xlpm.id,A44,
_xlpm.events,_xlfn._xlws.FILTER($G$2:$G$136,$A$2:$A$136=_xlpm.id),
ROWS(_xlfn.UNIQUE(_xlpm.events))
)</f>
        <v>2</v>
      </c>
      <c r="J44" s="4" t="str" cm="1">
        <f t="array" ref="J44">IF(G44="","",_xlfn.LET(
_xlpm.events,_xlfn.UNIQUE(_xlfn._xlws.FILTER($G$2:$G$136,$G$2:$G$136&lt;&gt;"")),
"E"&amp;TEXT(_xlfn.XMATCH(G44,_xlpm.events,0),"00")
))</f>
        <v>E07</v>
      </c>
    </row>
    <row r="45" spans="1:10" ht="86.4">
      <c r="A45" s="11" t="s">
        <v>24</v>
      </c>
      <c r="B45" s="5">
        <v>46057</v>
      </c>
      <c r="C45" s="5">
        <v>46155</v>
      </c>
      <c r="D45" s="4">
        <v>2</v>
      </c>
      <c r="E45" s="5">
        <v>46091</v>
      </c>
      <c r="F45" s="4">
        <v>457.110595703125</v>
      </c>
      <c r="G45" s="4" t="s">
        <v>70</v>
      </c>
      <c r="H45" s="4" t="s">
        <v>65</v>
      </c>
      <c r="I45" cm="1">
        <f t="array" ref="I45">_xlfn.LET(
_xlpm.id,A45,
_xlpm.events,_xlfn._xlws.FILTER($G$2:$G$136,$A$2:$A$136=_xlpm.id),
ROWS(_xlfn.UNIQUE(_xlpm.events))
)</f>
        <v>2</v>
      </c>
      <c r="J45" s="4" t="str" cm="1">
        <f t="array" ref="J45">IF(G45="","",_xlfn.LET(
_xlpm.events,_xlfn.UNIQUE(_xlfn._xlws.FILTER($G$2:$G$136,$G$2:$G$136&lt;&gt;"")),
"E"&amp;TEXT(_xlfn.XMATCH(G45,_xlpm.events,0),"00")
))</f>
        <v>E07</v>
      </c>
    </row>
    <row r="46" spans="1:10" ht="86.4">
      <c r="A46" s="11" t="s">
        <v>24</v>
      </c>
      <c r="B46" s="5">
        <v>46057</v>
      </c>
      <c r="C46" s="5">
        <v>46155</v>
      </c>
      <c r="D46" s="4">
        <v>3</v>
      </c>
      <c r="E46" s="5">
        <v>46112</v>
      </c>
      <c r="F46" s="4">
        <v>447.822265625</v>
      </c>
      <c r="G46" s="4" t="s">
        <v>80</v>
      </c>
      <c r="H46" s="4" t="s">
        <v>65</v>
      </c>
      <c r="I46" cm="1">
        <f t="array" ref="I46">_xlfn.LET(
_xlpm.id,A46,
_xlpm.events,_xlfn._xlws.FILTER($G$2:$G$136,$A$2:$A$136=_xlpm.id),
ROWS(_xlfn.UNIQUE(_xlpm.events))
)</f>
        <v>2</v>
      </c>
      <c r="J46" s="4" t="str" cm="1">
        <f t="array" ref="J46">IF(G46="","",_xlfn.LET(
_xlpm.events,_xlfn.UNIQUE(_xlfn._xlws.FILTER($G$2:$G$136,$G$2:$G$136&lt;&gt;"")),
"E"&amp;TEXT(_xlfn.XMATCH(G46,_xlpm.events,0),"00")
))</f>
        <v>E17</v>
      </c>
    </row>
    <row r="47" spans="1:10" ht="86.4">
      <c r="A47" s="11" t="s">
        <v>25</v>
      </c>
      <c r="B47" s="5">
        <v>42313</v>
      </c>
      <c r="C47" s="5">
        <v>42338</v>
      </c>
      <c r="D47" s="4">
        <v>1</v>
      </c>
      <c r="E47" s="5">
        <v>42325</v>
      </c>
      <c r="F47" s="4">
        <v>551.20111083984375</v>
      </c>
      <c r="G47" s="4" t="s">
        <v>64</v>
      </c>
      <c r="H47" s="4" t="s">
        <v>65</v>
      </c>
      <c r="I47" cm="1">
        <f t="array" ref="I47">_xlfn.LET(
_xlpm.id,A47,
_xlpm.events,_xlfn._xlws.FILTER($G$2:$G$136,$A$2:$A$136=_xlpm.id),
ROWS(_xlfn.UNIQUE(_xlpm.events))
)</f>
        <v>2</v>
      </c>
      <c r="J47" s="4" t="str" cm="1">
        <f t="array" ref="J47">IF(G47="","",_xlfn.LET(
_xlpm.events,_xlfn.UNIQUE(_xlfn._xlws.FILTER($G$2:$G$136,$G$2:$G$136&lt;&gt;"")),
"E"&amp;TEXT(_xlfn.XMATCH(G47,_xlpm.events,0),"00")
))</f>
        <v>E02</v>
      </c>
    </row>
    <row r="48" spans="1:10" ht="86.4">
      <c r="A48" s="11" t="s">
        <v>25</v>
      </c>
      <c r="B48" s="5">
        <v>42313</v>
      </c>
      <c r="C48" s="5">
        <v>42338</v>
      </c>
      <c r="D48" s="4">
        <v>2</v>
      </c>
      <c r="E48" s="5">
        <v>42326</v>
      </c>
      <c r="F48" s="4">
        <v>520.66583251953125</v>
      </c>
      <c r="G48" s="4" t="s">
        <v>64</v>
      </c>
      <c r="H48" s="4" t="s">
        <v>65</v>
      </c>
      <c r="I48" cm="1">
        <f t="array" ref="I48">_xlfn.LET(
_xlpm.id,A48,
_xlpm.events,_xlfn._xlws.FILTER($G$2:$G$136,$A$2:$A$136=_xlpm.id),
ROWS(_xlfn.UNIQUE(_xlpm.events))
)</f>
        <v>2</v>
      </c>
      <c r="J48" s="4" t="str" cm="1">
        <f t="array" ref="J48">IF(G48="","",_xlfn.LET(
_xlpm.events,_xlfn.UNIQUE(_xlfn._xlws.FILTER($G$2:$G$136,$G$2:$G$136&lt;&gt;"")),
"E"&amp;TEXT(_xlfn.XMATCH(G48,_xlpm.events,0),"00")
))</f>
        <v>E02</v>
      </c>
    </row>
    <row r="49" spans="1:10" ht="86.4">
      <c r="A49" s="11" t="s">
        <v>25</v>
      </c>
      <c r="B49" s="5">
        <v>42313</v>
      </c>
      <c r="C49" s="5">
        <v>42338</v>
      </c>
      <c r="D49" s="4">
        <v>3</v>
      </c>
      <c r="E49" s="5">
        <v>42333</v>
      </c>
      <c r="F49" s="4">
        <v>394.968017578125</v>
      </c>
      <c r="G49" s="4" t="s">
        <v>66</v>
      </c>
      <c r="H49" s="4" t="s">
        <v>65</v>
      </c>
      <c r="I49" cm="1">
        <f t="array" ref="I49">_xlfn.LET(
_xlpm.id,A49,
_xlpm.events,_xlfn._xlws.FILTER($G$2:$G$136,$A$2:$A$136=_xlpm.id),
ROWS(_xlfn.UNIQUE(_xlpm.events))
)</f>
        <v>2</v>
      </c>
      <c r="J49" s="4" t="str" cm="1">
        <f t="array" ref="J49">IF(G49="","",_xlfn.LET(
_xlpm.events,_xlfn.UNIQUE(_xlfn._xlws.FILTER($G$2:$G$136,$G$2:$G$136&lt;&gt;"")),
"E"&amp;TEXT(_xlfn.XMATCH(G49,_xlpm.events,0),"00")
))</f>
        <v>E03</v>
      </c>
    </row>
    <row r="50" spans="1:10" ht="86.4">
      <c r="A50" s="11" t="s">
        <v>26</v>
      </c>
      <c r="B50" s="5">
        <v>43823</v>
      </c>
      <c r="C50" s="5">
        <v>43857</v>
      </c>
      <c r="D50" s="4">
        <v>1</v>
      </c>
      <c r="E50" s="5">
        <v>43839</v>
      </c>
      <c r="F50" s="4">
        <v>339.62139892578125</v>
      </c>
      <c r="G50" s="4" t="s">
        <v>81</v>
      </c>
      <c r="H50" s="4" t="s">
        <v>65</v>
      </c>
      <c r="I50" cm="1">
        <f t="array" ref="I50">_xlfn.LET(
_xlpm.id,A50,
_xlpm.events,_xlfn._xlws.FILTER($G$2:$G$136,$A$2:$A$136=_xlpm.id),
ROWS(_xlfn.UNIQUE(_xlpm.events))
)</f>
        <v>2</v>
      </c>
      <c r="J50" s="4" t="str" cm="1">
        <f t="array" ref="J50">IF(G50="","",_xlfn.LET(
_xlpm.events,_xlfn.UNIQUE(_xlfn._xlws.FILTER($G$2:$G$136,$G$2:$G$136&lt;&gt;"")),
"E"&amp;TEXT(_xlfn.XMATCH(G50,_xlpm.events,0),"00")
))</f>
        <v>E18</v>
      </c>
    </row>
    <row r="51" spans="1:10" ht="86.4">
      <c r="A51" s="11" t="s">
        <v>26</v>
      </c>
      <c r="B51" s="5">
        <v>43823</v>
      </c>
      <c r="C51" s="5">
        <v>43857</v>
      </c>
      <c r="D51" s="4">
        <v>2</v>
      </c>
      <c r="E51" s="5">
        <v>43836</v>
      </c>
      <c r="F51" s="4">
        <v>191.86993662516275</v>
      </c>
      <c r="G51" s="4" t="s">
        <v>82</v>
      </c>
      <c r="H51" s="4" t="s">
        <v>65</v>
      </c>
      <c r="I51" cm="1">
        <f t="array" ref="I51">_xlfn.LET(
_xlpm.id,A51,
_xlpm.events,_xlfn._xlws.FILTER($G$2:$G$136,$A$2:$A$136=_xlpm.id),
ROWS(_xlfn.UNIQUE(_xlpm.events))
)</f>
        <v>2</v>
      </c>
      <c r="J51" s="4" t="str" cm="1">
        <f t="array" ref="J51">IF(G51="","",_xlfn.LET(
_xlpm.events,_xlfn.UNIQUE(_xlfn._xlws.FILTER($G$2:$G$136,$G$2:$G$136&lt;&gt;"")),
"E"&amp;TEXT(_xlfn.XMATCH(G51,_xlpm.events,0),"00")
))</f>
        <v>E19</v>
      </c>
    </row>
    <row r="52" spans="1:10" ht="86.4">
      <c r="A52" s="11" t="s">
        <v>26</v>
      </c>
      <c r="B52" s="5">
        <v>43823</v>
      </c>
      <c r="C52" s="5">
        <v>43857</v>
      </c>
      <c r="D52" s="4">
        <v>3</v>
      </c>
      <c r="E52" s="5">
        <v>43840</v>
      </c>
      <c r="F52" s="4">
        <v>166.78642272949219</v>
      </c>
      <c r="G52" s="4" t="s">
        <v>81</v>
      </c>
      <c r="H52" s="4" t="s">
        <v>65</v>
      </c>
      <c r="I52" cm="1">
        <f t="array" ref="I52">_xlfn.LET(
_xlpm.id,A52,
_xlpm.events,_xlfn._xlws.FILTER($G$2:$G$136,$A$2:$A$136=_xlpm.id),
ROWS(_xlfn.UNIQUE(_xlpm.events))
)</f>
        <v>2</v>
      </c>
      <c r="J52" s="4" t="str" cm="1">
        <f t="array" ref="J52">IF(G52="","",_xlfn.LET(
_xlpm.events,_xlfn.UNIQUE(_xlfn._xlws.FILTER($G$2:$G$136,$G$2:$G$136&lt;&gt;"")),
"E"&amp;TEXT(_xlfn.XMATCH(G52,_xlpm.events,0),"00")
))</f>
        <v>E18</v>
      </c>
    </row>
    <row r="53" spans="1:10" ht="28.8">
      <c r="A53" s="11" t="s">
        <v>27</v>
      </c>
      <c r="B53" s="5">
        <v>44321</v>
      </c>
      <c r="C53" s="5">
        <v>44348</v>
      </c>
      <c r="D53" s="4">
        <v>1</v>
      </c>
      <c r="E53" s="5">
        <v>44329</v>
      </c>
      <c r="F53" s="4">
        <v>131.76544189453125</v>
      </c>
      <c r="G53" s="4" t="s">
        <v>77</v>
      </c>
      <c r="H53" s="4" t="s">
        <v>63</v>
      </c>
      <c r="I53" cm="1">
        <f t="array" ref="I53">_xlfn.LET(
_xlpm.id,A53,
_xlpm.events,_xlfn._xlws.FILTER($G$2:$G$136,$A$2:$A$136=_xlpm.id),
ROWS(_xlfn.UNIQUE(_xlpm.events))
)</f>
        <v>2</v>
      </c>
      <c r="J53" s="4" t="str" cm="1">
        <f t="array" ref="J53">IF(G53="","",_xlfn.LET(
_xlpm.events,_xlfn.UNIQUE(_xlfn._xlws.FILTER($G$2:$G$136,$G$2:$G$136&lt;&gt;"")),
"E"&amp;TEXT(_xlfn.XMATCH(G53,_xlpm.events,0),"00")
))</f>
        <v>E14</v>
      </c>
    </row>
    <row r="54" spans="1:10" ht="86.4">
      <c r="A54" s="11" t="s">
        <v>27</v>
      </c>
      <c r="B54" s="5">
        <v>44321</v>
      </c>
      <c r="C54" s="5">
        <v>44348</v>
      </c>
      <c r="D54" s="4">
        <v>2</v>
      </c>
      <c r="E54" s="5">
        <v>44337</v>
      </c>
      <c r="F54" s="4">
        <v>125.12368011474609</v>
      </c>
      <c r="G54" s="4" t="s">
        <v>67</v>
      </c>
      <c r="H54" s="4" t="s">
        <v>65</v>
      </c>
      <c r="I54" cm="1">
        <f t="array" ref="I54">_xlfn.LET(
_xlpm.id,A54,
_xlpm.events,_xlfn._xlws.FILTER($G$2:$G$136,$A$2:$A$136=_xlpm.id),
ROWS(_xlfn.UNIQUE(_xlpm.events))
)</f>
        <v>2</v>
      </c>
      <c r="J54" s="4" t="str" cm="1">
        <f t="array" ref="J54">IF(G54="","",_xlfn.LET(
_xlpm.events,_xlfn.UNIQUE(_xlfn._xlws.FILTER($G$2:$G$136,$G$2:$G$136&lt;&gt;"")),
"E"&amp;TEXT(_xlfn.XMATCH(G54,_xlpm.events,0),"00")
))</f>
        <v>E04</v>
      </c>
    </row>
    <row r="55" spans="1:10" ht="28.8">
      <c r="A55" s="11" t="s">
        <v>27</v>
      </c>
      <c r="B55" s="5">
        <v>44321</v>
      </c>
      <c r="C55" s="5">
        <v>44348</v>
      </c>
      <c r="D55" s="4">
        <v>3</v>
      </c>
      <c r="E55" s="5">
        <v>44334</v>
      </c>
      <c r="F55" s="4">
        <v>108.11334991455078</v>
      </c>
      <c r="G55" s="4" t="s">
        <v>77</v>
      </c>
      <c r="H55" s="4" t="s">
        <v>63</v>
      </c>
      <c r="I55" cm="1">
        <f t="array" ref="I55">_xlfn.LET(
_xlpm.id,A55,
_xlpm.events,_xlfn._xlws.FILTER($G$2:$G$136,$A$2:$A$136=_xlpm.id),
ROWS(_xlfn.UNIQUE(_xlpm.events))
)</f>
        <v>2</v>
      </c>
      <c r="J55" s="4" t="str" cm="1">
        <f t="array" ref="J55">IF(G55="","",_xlfn.LET(
_xlpm.events,_xlfn.UNIQUE(_xlfn._xlws.FILTER($G$2:$G$136,$G$2:$G$136&lt;&gt;"")),
"E"&amp;TEXT(_xlfn.XMATCH(G55,_xlpm.events,0),"00")
))</f>
        <v>E14</v>
      </c>
    </row>
    <row r="56" spans="1:10" ht="86.4">
      <c r="A56" s="11" t="s">
        <v>28</v>
      </c>
      <c r="B56" s="5">
        <v>45722</v>
      </c>
      <c r="C56" s="5">
        <v>45748</v>
      </c>
      <c r="D56" s="4">
        <v>1</v>
      </c>
      <c r="E56" s="5">
        <v>45734</v>
      </c>
      <c r="F56" s="4">
        <v>271.2662353515625</v>
      </c>
      <c r="G56" s="4" t="s">
        <v>68</v>
      </c>
      <c r="H56" s="4" t="s">
        <v>65</v>
      </c>
      <c r="I56" cm="1">
        <f t="array" ref="I56">_xlfn.LET(
_xlpm.id,A56,
_xlpm.events,_xlfn._xlws.FILTER($G$2:$G$136,$A$2:$A$136=_xlpm.id),
ROWS(_xlfn.UNIQUE(_xlpm.events))
)</f>
        <v>1</v>
      </c>
      <c r="J56" s="4" t="str" cm="1">
        <f t="array" ref="J56">IF(G56="","",_xlfn.LET(
_xlpm.events,_xlfn.UNIQUE(_xlfn._xlws.FILTER($G$2:$G$136,$G$2:$G$136&lt;&gt;"")),
"E"&amp;TEXT(_xlfn.XMATCH(G56,_xlpm.events,0),"00")
))</f>
        <v>E05</v>
      </c>
    </row>
    <row r="57" spans="1:10" ht="86.4">
      <c r="A57" s="11" t="s">
        <v>28</v>
      </c>
      <c r="B57" s="5">
        <v>45722</v>
      </c>
      <c r="C57" s="5">
        <v>45748</v>
      </c>
      <c r="D57" s="4">
        <v>2</v>
      </c>
      <c r="E57" s="5">
        <v>45735</v>
      </c>
      <c r="F57" s="4">
        <v>251.39157104492188</v>
      </c>
      <c r="G57" s="4" t="s">
        <v>68</v>
      </c>
      <c r="H57" s="4" t="s">
        <v>65</v>
      </c>
      <c r="I57" cm="1">
        <f t="array" ref="I57">_xlfn.LET(
_xlpm.id,A57,
_xlpm.events,_xlfn._xlws.FILTER($G$2:$G$136,$A$2:$A$136=_xlpm.id),
ROWS(_xlfn.UNIQUE(_xlpm.events))
)</f>
        <v>1</v>
      </c>
      <c r="J57" s="4" t="str" cm="1">
        <f t="array" ref="J57">IF(G57="","",_xlfn.LET(
_xlpm.events,_xlfn.UNIQUE(_xlfn._xlws.FILTER($G$2:$G$136,$G$2:$G$136&lt;&gt;"")),
"E"&amp;TEXT(_xlfn.XMATCH(G57,_xlpm.events,0),"00")
))</f>
        <v>E05</v>
      </c>
    </row>
    <row r="58" spans="1:10" ht="86.4">
      <c r="A58" s="11" t="s">
        <v>28</v>
      </c>
      <c r="B58" s="5">
        <v>45722</v>
      </c>
      <c r="C58" s="5">
        <v>45748</v>
      </c>
      <c r="D58" s="4">
        <v>3</v>
      </c>
      <c r="E58" s="5">
        <v>45728</v>
      </c>
      <c r="F58" s="4">
        <v>234.28985595703125</v>
      </c>
      <c r="G58" s="4" t="s">
        <v>68</v>
      </c>
      <c r="H58" s="4" t="s">
        <v>65</v>
      </c>
      <c r="I58" cm="1">
        <f t="array" ref="I58">_xlfn.LET(
_xlpm.id,A58,
_xlpm.events,_xlfn._xlws.FILTER($G$2:$G$136,$A$2:$A$136=_xlpm.id),
ROWS(_xlfn.UNIQUE(_xlpm.events))
)</f>
        <v>1</v>
      </c>
      <c r="J58" s="4" t="str" cm="1">
        <f t="array" ref="J58">IF(G58="","",_xlfn.LET(
_xlpm.events,_xlfn.UNIQUE(_xlfn._xlws.FILTER($G$2:$G$136,$G$2:$G$136&lt;&gt;"")),
"E"&amp;TEXT(_xlfn.XMATCH(G58,_xlpm.events,0),"00")
))</f>
        <v>E05</v>
      </c>
    </row>
    <row r="59" spans="1:10" ht="28.8">
      <c r="A59" s="11" t="s">
        <v>29</v>
      </c>
      <c r="B59" s="5">
        <v>45819</v>
      </c>
      <c r="C59" s="5">
        <v>45841</v>
      </c>
      <c r="D59" s="4">
        <v>1</v>
      </c>
      <c r="E59" s="5">
        <v>45831</v>
      </c>
      <c r="F59" s="4">
        <v>352.00847880045575</v>
      </c>
      <c r="G59" s="4" t="s">
        <v>83</v>
      </c>
      <c r="H59" s="4" t="s">
        <v>63</v>
      </c>
      <c r="I59" cm="1">
        <f t="array" ref="I59">_xlfn.LET(
_xlpm.id,A59,
_xlpm.events,_xlfn._xlws.FILTER($G$2:$G$136,$A$2:$A$136=_xlpm.id),
ROWS(_xlfn.UNIQUE(_xlpm.events))
)</f>
        <v>1</v>
      </c>
      <c r="J59" s="4" t="str" cm="1">
        <f t="array" ref="J59">IF(G59="","",_xlfn.LET(
_xlpm.events,_xlfn.UNIQUE(_xlfn._xlws.FILTER($G$2:$G$136,$G$2:$G$136&lt;&gt;"")),
"E"&amp;TEXT(_xlfn.XMATCH(G59,_xlpm.events,0),"00")
))</f>
        <v>E20</v>
      </c>
    </row>
    <row r="60" spans="1:10" ht="28.8">
      <c r="A60" s="11" t="s">
        <v>29</v>
      </c>
      <c r="B60" s="5">
        <v>45819</v>
      </c>
      <c r="C60" s="5">
        <v>45841</v>
      </c>
      <c r="D60" s="4">
        <v>2</v>
      </c>
      <c r="E60" s="5">
        <v>45828</v>
      </c>
      <c r="F60" s="4">
        <v>345.27322387695313</v>
      </c>
      <c r="G60" s="4" t="s">
        <v>83</v>
      </c>
      <c r="H60" s="4" t="s">
        <v>63</v>
      </c>
      <c r="I60" cm="1">
        <f t="array" ref="I60">_xlfn.LET(
_xlpm.id,A60,
_xlpm.events,_xlfn._xlws.FILTER($G$2:$G$136,$A$2:$A$136=_xlpm.id),
ROWS(_xlfn.UNIQUE(_xlpm.events))
)</f>
        <v>1</v>
      </c>
      <c r="J60" s="4" t="str" cm="1">
        <f t="array" ref="J60">IF(G60="","",_xlfn.LET(
_xlpm.events,_xlfn.UNIQUE(_xlfn._xlws.FILTER($G$2:$G$136,$G$2:$G$136&lt;&gt;"")),
"E"&amp;TEXT(_xlfn.XMATCH(G60,_xlpm.events,0),"00")
))</f>
        <v>E20</v>
      </c>
    </row>
    <row r="61" spans="1:10" ht="28.8">
      <c r="A61" s="11" t="s">
        <v>29</v>
      </c>
      <c r="B61" s="5">
        <v>45819</v>
      </c>
      <c r="C61" s="5">
        <v>45841</v>
      </c>
      <c r="D61" s="4">
        <v>3</v>
      </c>
      <c r="E61" s="5">
        <v>45832</v>
      </c>
      <c r="F61" s="4">
        <v>318.76171875</v>
      </c>
      <c r="G61" s="4" t="s">
        <v>83</v>
      </c>
      <c r="H61" s="4" t="s">
        <v>63</v>
      </c>
      <c r="I61" cm="1">
        <f t="array" ref="I61">_xlfn.LET(
_xlpm.id,A61,
_xlpm.events,_xlfn._xlws.FILTER($G$2:$G$136,$A$2:$A$136=_xlpm.id),
ROWS(_xlfn.UNIQUE(_xlpm.events))
)</f>
        <v>1</v>
      </c>
      <c r="J61" s="4" t="str" cm="1">
        <f t="array" ref="J61">IF(G61="","",_xlfn.LET(
_xlpm.events,_xlfn.UNIQUE(_xlfn._xlws.FILTER($G$2:$G$136,$G$2:$G$136&lt;&gt;"")),
"E"&amp;TEXT(_xlfn.XMATCH(G61,_xlpm.events,0),"00")
))</f>
        <v>E20</v>
      </c>
    </row>
    <row r="62" spans="1:10" ht="86.4">
      <c r="A62" s="11" t="s">
        <v>30</v>
      </c>
      <c r="B62" s="5">
        <v>42306</v>
      </c>
      <c r="C62" s="5">
        <v>42374</v>
      </c>
      <c r="D62" s="4">
        <v>1</v>
      </c>
      <c r="E62" s="5">
        <v>42325</v>
      </c>
      <c r="F62" s="4">
        <v>551.20111083984375</v>
      </c>
      <c r="G62" s="4" t="s">
        <v>64</v>
      </c>
      <c r="H62" s="4" t="s">
        <v>65</v>
      </c>
      <c r="I62" cm="1">
        <f t="array" ref="I62">_xlfn.LET(
_xlpm.id,A62,
_xlpm.events,_xlfn._xlws.FILTER($G$2:$G$136,$A$2:$A$136=_xlpm.id),
ROWS(_xlfn.UNIQUE(_xlpm.events))
)</f>
        <v>2</v>
      </c>
      <c r="J62" s="4" t="str" cm="1">
        <f t="array" ref="J62">IF(G62="","",_xlfn.LET(
_xlpm.events,_xlfn.UNIQUE(_xlfn._xlws.FILTER($G$2:$G$136,$G$2:$G$136&lt;&gt;"")),
"E"&amp;TEXT(_xlfn.XMATCH(G62,_xlpm.events,0),"00")
))</f>
        <v>E02</v>
      </c>
    </row>
    <row r="63" spans="1:10" ht="86.4">
      <c r="A63" s="11" t="s">
        <v>30</v>
      </c>
      <c r="B63" s="5">
        <v>42306</v>
      </c>
      <c r="C63" s="5">
        <v>42374</v>
      </c>
      <c r="D63" s="4">
        <v>2</v>
      </c>
      <c r="E63" s="5">
        <v>42326</v>
      </c>
      <c r="F63" s="4">
        <v>520.66583251953125</v>
      </c>
      <c r="G63" s="4" t="s">
        <v>64</v>
      </c>
      <c r="H63" s="4" t="s">
        <v>65</v>
      </c>
      <c r="I63" cm="1">
        <f t="array" ref="I63">_xlfn.LET(
_xlpm.id,A63,
_xlpm.events,_xlfn._xlws.FILTER($G$2:$G$136,$A$2:$A$136=_xlpm.id),
ROWS(_xlfn.UNIQUE(_xlpm.events))
)</f>
        <v>2</v>
      </c>
      <c r="J63" s="4" t="str" cm="1">
        <f t="array" ref="J63">IF(G63="","",_xlfn.LET(
_xlpm.events,_xlfn.UNIQUE(_xlfn._xlws.FILTER($G$2:$G$136,$G$2:$G$136&lt;&gt;"")),
"E"&amp;TEXT(_xlfn.XMATCH(G63,_xlpm.events,0),"00")
))</f>
        <v>E02</v>
      </c>
    </row>
    <row r="64" spans="1:10" ht="86.4">
      <c r="A64" s="11" t="s">
        <v>30</v>
      </c>
      <c r="B64" s="5">
        <v>42306</v>
      </c>
      <c r="C64" s="5">
        <v>42374</v>
      </c>
      <c r="D64" s="4">
        <v>3</v>
      </c>
      <c r="E64" s="5">
        <v>42333</v>
      </c>
      <c r="F64" s="4">
        <v>394.968017578125</v>
      </c>
      <c r="G64" s="4" t="s">
        <v>66</v>
      </c>
      <c r="H64" s="4" t="s">
        <v>65</v>
      </c>
      <c r="I64" cm="1">
        <f t="array" ref="I64">_xlfn.LET(
_xlpm.id,A64,
_xlpm.events,_xlfn._xlws.FILTER($G$2:$G$136,$A$2:$A$136=_xlpm.id),
ROWS(_xlfn.UNIQUE(_xlpm.events))
)</f>
        <v>2</v>
      </c>
      <c r="J64" s="4" t="str" cm="1">
        <f t="array" ref="J64">IF(G64="","",_xlfn.LET(
_xlpm.events,_xlfn.UNIQUE(_xlfn._xlws.FILTER($G$2:$G$136,$G$2:$G$136&lt;&gt;"")),
"E"&amp;TEXT(_xlfn.XMATCH(G64,_xlpm.events,0),"00")
))</f>
        <v>E03</v>
      </c>
    </row>
    <row r="65" spans="1:10" ht="28.8">
      <c r="A65" s="11" t="s">
        <v>31</v>
      </c>
      <c r="B65" s="5">
        <v>42706</v>
      </c>
      <c r="C65" s="5">
        <v>42723</v>
      </c>
      <c r="D65" s="4">
        <v>1</v>
      </c>
      <c r="E65" s="5">
        <v>42711</v>
      </c>
      <c r="F65" s="4">
        <v>151.83316040039063</v>
      </c>
      <c r="G65" s="4" t="s">
        <v>84</v>
      </c>
      <c r="H65" s="4" t="s">
        <v>63</v>
      </c>
      <c r="I65" cm="1">
        <f t="array" ref="I65">_xlfn.LET(
_xlpm.id,A65,
_xlpm.events,_xlfn._xlws.FILTER($G$2:$G$136,$A$2:$A$136=_xlpm.id),
ROWS(_xlfn.UNIQUE(_xlpm.events))
)</f>
        <v>1</v>
      </c>
      <c r="J65" s="4" t="str" cm="1">
        <f t="array" ref="J65">IF(G65="","",_xlfn.LET(
_xlpm.events,_xlfn.UNIQUE(_xlfn._xlws.FILTER($G$2:$G$136,$G$2:$G$136&lt;&gt;"")),
"E"&amp;TEXT(_xlfn.XMATCH(G65,_xlpm.events,0),"00")
))</f>
        <v>E21</v>
      </c>
    </row>
    <row r="66" spans="1:10" ht="28.8">
      <c r="A66" s="11" t="s">
        <v>31</v>
      </c>
      <c r="B66" s="5">
        <v>42706</v>
      </c>
      <c r="C66" s="5">
        <v>42723</v>
      </c>
      <c r="D66" s="4">
        <v>2</v>
      </c>
      <c r="E66" s="5">
        <v>42718</v>
      </c>
      <c r="F66" s="4">
        <v>147.47431945800781</v>
      </c>
      <c r="G66" s="4" t="s">
        <v>84</v>
      </c>
      <c r="H66" s="4" t="s">
        <v>63</v>
      </c>
      <c r="I66" cm="1">
        <f t="array" ref="I66">_xlfn.LET(
_xlpm.id,A66,
_xlpm.events,_xlfn._xlws.FILTER($G$2:$G$136,$A$2:$A$136=_xlpm.id),
ROWS(_xlfn.UNIQUE(_xlpm.events))
)</f>
        <v>1</v>
      </c>
      <c r="J66" s="4" t="str" cm="1">
        <f t="array" ref="J66">IF(G66="","",_xlfn.LET(
_xlpm.events,_xlfn.UNIQUE(_xlfn._xlws.FILTER($G$2:$G$136,$G$2:$G$136&lt;&gt;"")),
"E"&amp;TEXT(_xlfn.XMATCH(G66,_xlpm.events,0),"00")
))</f>
        <v>E21</v>
      </c>
    </row>
    <row r="67" spans="1:10" ht="28.8">
      <c r="A67" s="11" t="s">
        <v>31</v>
      </c>
      <c r="B67" s="5">
        <v>42706</v>
      </c>
      <c r="C67" s="5">
        <v>42723</v>
      </c>
      <c r="D67" s="4">
        <v>3</v>
      </c>
      <c r="E67" s="5">
        <v>42717</v>
      </c>
      <c r="F67" s="4">
        <v>136.64984130859375</v>
      </c>
      <c r="G67" s="4" t="s">
        <v>84</v>
      </c>
      <c r="H67" s="4" t="s">
        <v>63</v>
      </c>
      <c r="I67" cm="1">
        <f t="array" ref="I67">_xlfn.LET(
_xlpm.id,A67,
_xlpm.events,_xlfn._xlws.FILTER($G$2:$G$136,$A$2:$A$136=_xlpm.id),
ROWS(_xlfn.UNIQUE(_xlpm.events))
)</f>
        <v>1</v>
      </c>
      <c r="J67" s="4" t="str" cm="1">
        <f t="array" ref="J67">IF(G67="","",_xlfn.LET(
_xlpm.events,_xlfn.UNIQUE(_xlfn._xlws.FILTER($G$2:$G$136,$G$2:$G$136&lt;&gt;"")),
"E"&amp;TEXT(_xlfn.XMATCH(G67,_xlpm.events,0),"00")
))</f>
        <v>E21</v>
      </c>
    </row>
    <row r="68" spans="1:10" ht="86.4">
      <c r="A68" s="11" t="s">
        <v>32</v>
      </c>
      <c r="B68" s="5">
        <v>42874</v>
      </c>
      <c r="C68" s="5">
        <v>42915</v>
      </c>
      <c r="D68" s="4">
        <v>1</v>
      </c>
      <c r="E68" s="5">
        <v>42892</v>
      </c>
      <c r="F68" s="4">
        <v>339.86666870117188</v>
      </c>
      <c r="G68" s="4" t="s">
        <v>72</v>
      </c>
      <c r="H68" s="4" t="s">
        <v>65</v>
      </c>
      <c r="I68" cm="1">
        <f t="array" ref="I68">_xlfn.LET(
_xlpm.id,A68,
_xlpm.events,_xlfn._xlws.FILTER($G$2:$G$136,$A$2:$A$136=_xlpm.id),
ROWS(_xlfn.UNIQUE(_xlpm.events))
)</f>
        <v>2</v>
      </c>
      <c r="J68" s="4" t="str" cm="1">
        <f t="array" ref="J68">IF(G68="","",_xlfn.LET(
_xlpm.events,_xlfn.UNIQUE(_xlfn._xlws.FILTER($G$2:$G$136,$G$2:$G$136&lt;&gt;"")),
"E"&amp;TEXT(_xlfn.XMATCH(G68,_xlpm.events,0),"00")
))</f>
        <v>E09</v>
      </c>
    </row>
    <row r="69" spans="1:10" ht="86.4">
      <c r="A69" s="11" t="s">
        <v>32</v>
      </c>
      <c r="B69" s="5">
        <v>42874</v>
      </c>
      <c r="C69" s="5">
        <v>42915</v>
      </c>
      <c r="D69" s="4">
        <v>2</v>
      </c>
      <c r="E69" s="5">
        <v>42893</v>
      </c>
      <c r="F69" s="4">
        <v>333.8890380859375</v>
      </c>
      <c r="G69" s="4" t="s">
        <v>71</v>
      </c>
      <c r="H69" s="4" t="s">
        <v>65</v>
      </c>
      <c r="I69" cm="1">
        <f t="array" ref="I69">_xlfn.LET(
_xlpm.id,A69,
_xlpm.events,_xlfn._xlws.FILTER($G$2:$G$136,$A$2:$A$136=_xlpm.id),
ROWS(_xlfn.UNIQUE(_xlpm.events))
)</f>
        <v>2</v>
      </c>
      <c r="J69" s="4" t="str" cm="1">
        <f t="array" ref="J69">IF(G69="","",_xlfn.LET(
_xlpm.events,_xlfn.UNIQUE(_xlfn._xlws.FILTER($G$2:$G$136,$G$2:$G$136&lt;&gt;"")),
"E"&amp;TEXT(_xlfn.XMATCH(G69,_xlpm.events,0),"00")
))</f>
        <v>E08</v>
      </c>
    </row>
    <row r="70" spans="1:10" ht="86.4">
      <c r="A70" s="11" t="s">
        <v>32</v>
      </c>
      <c r="B70" s="5">
        <v>42874</v>
      </c>
      <c r="C70" s="5">
        <v>42915</v>
      </c>
      <c r="D70" s="4">
        <v>3</v>
      </c>
      <c r="E70" s="5">
        <v>42881</v>
      </c>
      <c r="F70" s="4">
        <v>289.86331176757813</v>
      </c>
      <c r="G70" s="4" t="s">
        <v>72</v>
      </c>
      <c r="H70" s="4" t="s">
        <v>65</v>
      </c>
      <c r="I70" cm="1">
        <f t="array" ref="I70">_xlfn.LET(
_xlpm.id,A70,
_xlpm.events,_xlfn._xlws.FILTER($G$2:$G$136,$A$2:$A$136=_xlpm.id),
ROWS(_xlfn.UNIQUE(_xlpm.events))
)</f>
        <v>2</v>
      </c>
      <c r="J70" s="4" t="str" cm="1">
        <f t="array" ref="J70">IF(G70="","",_xlfn.LET(
_xlpm.events,_xlfn.UNIQUE(_xlfn._xlws.FILTER($G$2:$G$136,$G$2:$G$136&lt;&gt;"")),
"E"&amp;TEXT(_xlfn.XMATCH(G70,_xlpm.events,0),"00")
))</f>
        <v>E09</v>
      </c>
    </row>
    <row r="71" spans="1:10" ht="86.4">
      <c r="A71" s="11" t="s">
        <v>33</v>
      </c>
      <c r="B71" s="5">
        <v>45707</v>
      </c>
      <c r="C71" s="5">
        <v>45733</v>
      </c>
      <c r="D71" s="4">
        <v>1</v>
      </c>
      <c r="E71" s="5">
        <v>45708</v>
      </c>
      <c r="F71" s="4">
        <v>336.85391235351563</v>
      </c>
      <c r="G71" s="4" t="s">
        <v>68</v>
      </c>
      <c r="H71" s="4" t="s">
        <v>65</v>
      </c>
      <c r="I71" cm="1">
        <f t="array" ref="I71">_xlfn.LET(
_xlpm.id,A71,
_xlpm.events,_xlfn._xlws.FILTER($G$2:$G$136,$A$2:$A$136=_xlpm.id),
ROWS(_xlfn.UNIQUE(_xlpm.events))
)</f>
        <v>1</v>
      </c>
      <c r="J71" s="4" t="str" cm="1">
        <f t="array" ref="J71">IF(G71="","",_xlfn.LET(
_xlpm.events,_xlfn.UNIQUE(_xlfn._xlws.FILTER($G$2:$G$136,$G$2:$G$136&lt;&gt;"")),
"E"&amp;TEXT(_xlfn.XMATCH(G71,_xlpm.events,0),"00")
))</f>
        <v>E05</v>
      </c>
    </row>
    <row r="72" spans="1:10" ht="86.4">
      <c r="A72" s="11" t="s">
        <v>33</v>
      </c>
      <c r="B72" s="5">
        <v>45707</v>
      </c>
      <c r="C72" s="5">
        <v>45733</v>
      </c>
      <c r="D72" s="4">
        <v>2</v>
      </c>
      <c r="E72" s="5">
        <v>45728</v>
      </c>
      <c r="F72" s="4">
        <v>234.28985595703125</v>
      </c>
      <c r="G72" s="4" t="s">
        <v>68</v>
      </c>
      <c r="H72" s="4" t="s">
        <v>65</v>
      </c>
      <c r="I72" cm="1">
        <f t="array" ref="I72">_xlfn.LET(
_xlpm.id,A72,
_xlpm.events,_xlfn._xlws.FILTER($G$2:$G$136,$A$2:$A$136=_xlpm.id),
ROWS(_xlfn.UNIQUE(_xlpm.events))
)</f>
        <v>1</v>
      </c>
      <c r="J72" s="4" t="str" cm="1">
        <f t="array" ref="J72">IF(G72="","",_xlfn.LET(
_xlpm.events,_xlfn.UNIQUE(_xlfn._xlws.FILTER($G$2:$G$136,$G$2:$G$136&lt;&gt;"")),
"E"&amp;TEXT(_xlfn.XMATCH(G72,_xlpm.events,0),"00")
))</f>
        <v>E05</v>
      </c>
    </row>
    <row r="73" spans="1:10" ht="86.4">
      <c r="A73" s="11" t="s">
        <v>33</v>
      </c>
      <c r="B73" s="5">
        <v>45707</v>
      </c>
      <c r="C73" s="5">
        <v>45733</v>
      </c>
      <c r="D73" s="4">
        <v>3</v>
      </c>
      <c r="E73" s="5">
        <v>45714</v>
      </c>
      <c r="F73" s="4">
        <v>233.10856628417969</v>
      </c>
      <c r="G73" s="4" t="s">
        <v>68</v>
      </c>
      <c r="H73" s="4" t="s">
        <v>65</v>
      </c>
      <c r="I73" cm="1">
        <f t="array" ref="I73">_xlfn.LET(
_xlpm.id,A73,
_xlpm.events,_xlfn._xlws.FILTER($G$2:$G$136,$A$2:$A$136=_xlpm.id),
ROWS(_xlfn.UNIQUE(_xlpm.events))
)</f>
        <v>1</v>
      </c>
      <c r="J73" s="4" t="str" cm="1">
        <f t="array" ref="J73">IF(G73="","",_xlfn.LET(
_xlpm.events,_xlfn.UNIQUE(_xlfn._xlws.FILTER($G$2:$G$136,$G$2:$G$136&lt;&gt;"")),
"E"&amp;TEXT(_xlfn.XMATCH(G73,_xlpm.events,0),"00")
))</f>
        <v>E05</v>
      </c>
    </row>
    <row r="74" spans="1:10" ht="86.4">
      <c r="A74" s="11" t="s">
        <v>34</v>
      </c>
      <c r="B74" s="5">
        <v>46065</v>
      </c>
      <c r="C74" s="5">
        <v>46101</v>
      </c>
      <c r="D74" s="4">
        <v>1</v>
      </c>
      <c r="E74" s="5">
        <v>46091</v>
      </c>
      <c r="F74" s="4">
        <v>627.33221435546875</v>
      </c>
      <c r="G74" s="4" t="s">
        <v>70</v>
      </c>
      <c r="H74" s="4" t="s">
        <v>65</v>
      </c>
      <c r="I74" cm="1">
        <f t="array" ref="I74">_xlfn.LET(
_xlpm.id,A74,
_xlpm.events,_xlfn._xlws.FILTER($G$2:$G$136,$A$2:$A$136=_xlpm.id),
ROWS(_xlfn.UNIQUE(_xlpm.events))
)</f>
        <v>1</v>
      </c>
      <c r="J74" s="4" t="str" cm="1">
        <f t="array" ref="J74">IF(G74="","",_xlfn.LET(
_xlpm.events,_xlfn.UNIQUE(_xlfn._xlws.FILTER($G$2:$G$136,$G$2:$G$136&lt;&gt;"")),
"E"&amp;TEXT(_xlfn.XMATCH(G74,_xlpm.events,0),"00")
))</f>
        <v>E07</v>
      </c>
    </row>
    <row r="75" spans="1:10" ht="86.4">
      <c r="A75" s="11" t="s">
        <v>34</v>
      </c>
      <c r="B75" s="5">
        <v>46065</v>
      </c>
      <c r="C75" s="5">
        <v>46101</v>
      </c>
      <c r="D75" s="4">
        <v>2</v>
      </c>
      <c r="E75" s="5">
        <v>46085</v>
      </c>
      <c r="F75" s="4">
        <v>611.76007080078125</v>
      </c>
      <c r="G75" s="4" t="s">
        <v>70</v>
      </c>
      <c r="H75" s="4" t="s">
        <v>65</v>
      </c>
      <c r="I75" cm="1">
        <f t="array" ref="I75">_xlfn.LET(
_xlpm.id,A75,
_xlpm.events,_xlfn._xlws.FILTER($G$2:$G$136,$A$2:$A$136=_xlpm.id),
ROWS(_xlfn.UNIQUE(_xlpm.events))
)</f>
        <v>1</v>
      </c>
      <c r="J75" s="4" t="str" cm="1">
        <f t="array" ref="J75">IF(G75="","",_xlfn.LET(
_xlpm.events,_xlfn.UNIQUE(_xlfn._xlws.FILTER($G$2:$G$136,$G$2:$G$136&lt;&gt;"")),
"E"&amp;TEXT(_xlfn.XMATCH(G75,_xlpm.events,0),"00")
))</f>
        <v>E07</v>
      </c>
    </row>
    <row r="76" spans="1:10" ht="86.4">
      <c r="A76" s="11" t="s">
        <v>34</v>
      </c>
      <c r="B76" s="5">
        <v>46065</v>
      </c>
      <c r="C76" s="5">
        <v>46101</v>
      </c>
      <c r="D76" s="4">
        <v>3</v>
      </c>
      <c r="E76" s="5">
        <v>46098</v>
      </c>
      <c r="F76" s="4">
        <v>574.325439453125</v>
      </c>
      <c r="G76" s="4" t="s">
        <v>70</v>
      </c>
      <c r="H76" s="4" t="s">
        <v>65</v>
      </c>
      <c r="I76" cm="1">
        <f t="array" ref="I76">_xlfn.LET(
_xlpm.id,A76,
_xlpm.events,_xlfn._xlws.FILTER($G$2:$G$136,$A$2:$A$136=_xlpm.id),
ROWS(_xlfn.UNIQUE(_xlpm.events))
)</f>
        <v>1</v>
      </c>
      <c r="J76" s="4" t="str" cm="1">
        <f t="array" ref="J76">IF(G76="","",_xlfn.LET(
_xlpm.events,_xlfn.UNIQUE(_xlfn._xlws.FILTER($G$2:$G$136,$G$2:$G$136&lt;&gt;"")),
"E"&amp;TEXT(_xlfn.XMATCH(G76,_xlpm.events,0),"00")
))</f>
        <v>E07</v>
      </c>
    </row>
    <row r="77" spans="1:10" ht="86.4">
      <c r="A77" s="11" t="s">
        <v>35</v>
      </c>
      <c r="B77" s="5">
        <v>42024</v>
      </c>
      <c r="C77" s="5">
        <v>42061</v>
      </c>
      <c r="D77" s="4">
        <v>1</v>
      </c>
      <c r="E77" s="5">
        <v>42024</v>
      </c>
      <c r="F77" s="4">
        <v>250.92645263671875</v>
      </c>
      <c r="G77" s="4" t="s">
        <v>85</v>
      </c>
      <c r="H77" s="4" t="s">
        <v>65</v>
      </c>
      <c r="I77" cm="1">
        <f t="array" ref="I77">_xlfn.LET(
_xlpm.id,A77,
_xlpm.events,_xlfn._xlws.FILTER($G$2:$G$136,$A$2:$A$136=_xlpm.id),
ROWS(_xlfn.UNIQUE(_xlpm.events))
)</f>
        <v>1</v>
      </c>
      <c r="J77" s="4" t="str" cm="1">
        <f t="array" ref="J77">IF(G77="","",_xlfn.LET(
_xlpm.events,_xlfn.UNIQUE(_xlfn._xlws.FILTER($G$2:$G$136,$G$2:$G$136&lt;&gt;"")),
"E"&amp;TEXT(_xlfn.XMATCH(G77,_xlpm.events,0),"00")
))</f>
        <v>E22</v>
      </c>
    </row>
    <row r="78" spans="1:10" ht="86.4">
      <c r="A78" s="11" t="s">
        <v>35</v>
      </c>
      <c r="B78" s="5">
        <v>42024</v>
      </c>
      <c r="C78" s="5">
        <v>42061</v>
      </c>
      <c r="D78" s="4">
        <v>2</v>
      </c>
      <c r="E78" s="5">
        <v>42032</v>
      </c>
      <c r="F78" s="4">
        <v>197.54106140136719</v>
      </c>
      <c r="G78" s="4" t="s">
        <v>85</v>
      </c>
      <c r="H78" s="4" t="s">
        <v>65</v>
      </c>
      <c r="I78" cm="1">
        <f t="array" ref="I78">_xlfn.LET(
_xlpm.id,A78,
_xlpm.events,_xlfn._xlws.FILTER($G$2:$G$136,$A$2:$A$136=_xlpm.id),
ROWS(_xlfn.UNIQUE(_xlpm.events))
)</f>
        <v>1</v>
      </c>
      <c r="J78" s="4" t="str" cm="1">
        <f t="array" ref="J78">IF(G78="","",_xlfn.LET(
_xlpm.events,_xlfn.UNIQUE(_xlfn._xlws.FILTER($G$2:$G$136,$G$2:$G$136&lt;&gt;"")),
"E"&amp;TEXT(_xlfn.XMATCH(G78,_xlpm.events,0),"00")
))</f>
        <v>E22</v>
      </c>
    </row>
    <row r="79" spans="1:10" ht="86.4">
      <c r="A79" s="11" t="s">
        <v>35</v>
      </c>
      <c r="B79" s="5">
        <v>42024</v>
      </c>
      <c r="C79" s="5">
        <v>42061</v>
      </c>
      <c r="D79" s="4">
        <v>3</v>
      </c>
      <c r="E79" s="5">
        <v>42038</v>
      </c>
      <c r="F79" s="4">
        <v>190.78347778320313</v>
      </c>
      <c r="G79" s="4" t="s">
        <v>85</v>
      </c>
      <c r="H79" s="4" t="s">
        <v>65</v>
      </c>
      <c r="I79" cm="1">
        <f t="array" ref="I79">_xlfn.LET(
_xlpm.id,A79,
_xlpm.events,_xlfn._xlws.FILTER($G$2:$G$136,$A$2:$A$136=_xlpm.id),
ROWS(_xlfn.UNIQUE(_xlpm.events))
)</f>
        <v>1</v>
      </c>
      <c r="J79" s="4" t="str" cm="1">
        <f t="array" ref="J79">IF(G79="","",_xlfn.LET(
_xlpm.events,_xlfn.UNIQUE(_xlfn._xlws.FILTER($G$2:$G$136,$G$2:$G$136&lt;&gt;"")),
"E"&amp;TEXT(_xlfn.XMATCH(G79,_xlpm.events,0),"00")
))</f>
        <v>E22</v>
      </c>
    </row>
    <row r="80" spans="1:10" ht="86.4">
      <c r="A80" s="11" t="s">
        <v>36</v>
      </c>
      <c r="B80" s="5">
        <v>42339</v>
      </c>
      <c r="C80" s="5">
        <v>42360</v>
      </c>
      <c r="D80" s="4">
        <v>1</v>
      </c>
      <c r="E80" s="5">
        <v>42346</v>
      </c>
      <c r="F80" s="4">
        <v>298.46502685546875</v>
      </c>
      <c r="G80" s="4" t="s">
        <v>86</v>
      </c>
      <c r="H80" s="4" t="s">
        <v>65</v>
      </c>
      <c r="I80" cm="1">
        <f t="array" ref="I80">_xlfn.LET(
_xlpm.id,A80,
_xlpm.events,_xlfn._xlws.FILTER($G$2:$G$136,$A$2:$A$136=_xlpm.id),
ROWS(_xlfn.UNIQUE(_xlpm.events))
)</f>
        <v>2</v>
      </c>
      <c r="J80" s="4" t="str" cm="1">
        <f t="array" ref="J80">IF(G80="","",_xlfn.LET(
_xlpm.events,_xlfn.UNIQUE(_xlfn._xlws.FILTER($G$2:$G$136,$G$2:$G$136&lt;&gt;"")),
"E"&amp;TEXT(_xlfn.XMATCH(G80,_xlpm.events,0),"00")
))</f>
        <v>E23</v>
      </c>
    </row>
    <row r="81" spans="1:10" ht="86.4">
      <c r="A81" s="11" t="s">
        <v>36</v>
      </c>
      <c r="B81" s="5">
        <v>42339</v>
      </c>
      <c r="C81" s="5">
        <v>42360</v>
      </c>
      <c r="D81" s="4">
        <v>2</v>
      </c>
      <c r="E81" s="5">
        <v>42345</v>
      </c>
      <c r="F81" s="4">
        <v>267.24652608235675</v>
      </c>
      <c r="G81" s="4" t="s">
        <v>86</v>
      </c>
      <c r="H81" s="4" t="s">
        <v>65</v>
      </c>
      <c r="I81" cm="1">
        <f t="array" ref="I81">_xlfn.LET(
_xlpm.id,A81,
_xlpm.events,_xlfn._xlws.FILTER($G$2:$G$136,$A$2:$A$136=_xlpm.id),
ROWS(_xlfn.UNIQUE(_xlpm.events))
)</f>
        <v>2</v>
      </c>
      <c r="J81" s="4" t="str" cm="1">
        <f t="array" ref="J81">IF(G81="","",_xlfn.LET(
_xlpm.events,_xlfn.UNIQUE(_xlfn._xlws.FILTER($G$2:$G$136,$G$2:$G$136&lt;&gt;"")),
"E"&amp;TEXT(_xlfn.XMATCH(G81,_xlpm.events,0),"00")
))</f>
        <v>E23</v>
      </c>
    </row>
    <row r="82" spans="1:10" ht="28.8">
      <c r="A82" s="11" t="s">
        <v>36</v>
      </c>
      <c r="B82" s="5">
        <v>42339</v>
      </c>
      <c r="C82" s="5">
        <v>42360</v>
      </c>
      <c r="D82" s="4">
        <v>3</v>
      </c>
      <c r="E82" s="5">
        <v>42340</v>
      </c>
      <c r="F82" s="4">
        <v>265.28744506835938</v>
      </c>
      <c r="G82" s="4" t="s">
        <v>87</v>
      </c>
      <c r="H82" s="4" t="s">
        <v>63</v>
      </c>
      <c r="I82" cm="1">
        <f t="array" ref="I82">_xlfn.LET(
_xlpm.id,A82,
_xlpm.events,_xlfn._xlws.FILTER($G$2:$G$136,$A$2:$A$136=_xlpm.id),
ROWS(_xlfn.UNIQUE(_xlpm.events))
)</f>
        <v>2</v>
      </c>
      <c r="J82" s="4" t="str" cm="1">
        <f t="array" ref="J82">IF(G82="","",_xlfn.LET(
_xlpm.events,_xlfn.UNIQUE(_xlfn._xlws.FILTER($G$2:$G$136,$G$2:$G$136&lt;&gt;"")),
"E"&amp;TEXT(_xlfn.XMATCH(G82,_xlpm.events,0),"00")
))</f>
        <v>E24</v>
      </c>
    </row>
    <row r="83" spans="1:10" ht="86.4">
      <c r="A83" s="11" t="s">
        <v>37</v>
      </c>
      <c r="B83" s="5">
        <v>42739</v>
      </c>
      <c r="C83" s="5">
        <v>42754</v>
      </c>
      <c r="D83" s="4">
        <v>1</v>
      </c>
      <c r="E83" s="5">
        <v>42746</v>
      </c>
      <c r="F83" s="4">
        <v>166.58845520019531</v>
      </c>
      <c r="G83" s="4" t="s">
        <v>88</v>
      </c>
      <c r="H83" s="4" t="s">
        <v>65</v>
      </c>
      <c r="I83" cm="1">
        <f t="array" ref="I83">_xlfn.LET(
_xlpm.id,A83,
_xlpm.events,_xlfn._xlws.FILTER($G$2:$G$136,$A$2:$A$136=_xlpm.id),
ROWS(_xlfn.UNIQUE(_xlpm.events))
)</f>
        <v>2</v>
      </c>
      <c r="J83" s="4" t="str" cm="1">
        <f t="array" ref="J83">IF(G83="","",_xlfn.LET(
_xlpm.events,_xlfn.UNIQUE(_xlfn._xlws.FILTER($G$2:$G$136,$G$2:$G$136&lt;&gt;"")),
"E"&amp;TEXT(_xlfn.XMATCH(G83,_xlpm.events,0),"00")
))</f>
        <v>E25</v>
      </c>
    </row>
    <row r="84" spans="1:10" ht="86.4">
      <c r="A84" s="11" t="s">
        <v>37</v>
      </c>
      <c r="B84" s="5">
        <v>42739</v>
      </c>
      <c r="C84" s="5">
        <v>42754</v>
      </c>
      <c r="D84" s="4">
        <v>2</v>
      </c>
      <c r="E84" s="5">
        <v>42752</v>
      </c>
      <c r="F84" s="4">
        <v>122.72325897216797</v>
      </c>
      <c r="G84" s="4" t="s">
        <v>89</v>
      </c>
      <c r="H84" s="4" t="s">
        <v>65</v>
      </c>
      <c r="I84" cm="1">
        <f t="array" ref="I84">_xlfn.LET(
_xlpm.id,A84,
_xlpm.events,_xlfn._xlws.FILTER($G$2:$G$136,$A$2:$A$136=_xlpm.id),
ROWS(_xlfn.UNIQUE(_xlpm.events))
)</f>
        <v>2</v>
      </c>
      <c r="J84" s="4" t="str" cm="1">
        <f t="array" ref="J84">IF(G84="","",_xlfn.LET(
_xlpm.events,_xlfn.UNIQUE(_xlfn._xlws.FILTER($G$2:$G$136,$G$2:$G$136&lt;&gt;"")),
"E"&amp;TEXT(_xlfn.XMATCH(G84,_xlpm.events,0),"00")
))</f>
        <v>E26</v>
      </c>
    </row>
    <row r="85" spans="1:10" ht="86.4">
      <c r="A85" s="11" t="s">
        <v>37</v>
      </c>
      <c r="B85" s="5">
        <v>42739</v>
      </c>
      <c r="C85" s="5">
        <v>42754</v>
      </c>
      <c r="D85" s="4">
        <v>3</v>
      </c>
      <c r="E85" s="5">
        <v>42753</v>
      </c>
      <c r="F85" s="4">
        <v>120.76181793212891</v>
      </c>
      <c r="G85" s="4" t="s">
        <v>89</v>
      </c>
      <c r="H85" s="4" t="s">
        <v>65</v>
      </c>
      <c r="I85" cm="1">
        <f t="array" ref="I85">_xlfn.LET(
_xlpm.id,A85,
_xlpm.events,_xlfn._xlws.FILTER($G$2:$G$136,$A$2:$A$136=_xlpm.id),
ROWS(_xlfn.UNIQUE(_xlpm.events))
)</f>
        <v>2</v>
      </c>
      <c r="J85" s="4" t="str" cm="1">
        <f t="array" ref="J85">IF(G85="","",_xlfn.LET(
_xlpm.events,_xlfn.UNIQUE(_xlfn._xlws.FILTER($G$2:$G$136,$G$2:$G$136&lt;&gt;"")),
"E"&amp;TEXT(_xlfn.XMATCH(G85,_xlpm.events,0),"00")
))</f>
        <v>E26</v>
      </c>
    </row>
    <row r="86" spans="1:10" ht="86.4">
      <c r="A86" s="11" t="s">
        <v>38</v>
      </c>
      <c r="B86" s="5">
        <v>43514</v>
      </c>
      <c r="C86" s="5">
        <v>43539</v>
      </c>
      <c r="D86" s="4">
        <v>1</v>
      </c>
      <c r="E86" s="5">
        <v>43524</v>
      </c>
      <c r="F86" s="4">
        <v>153.59866333007813</v>
      </c>
      <c r="G86" s="4" t="s">
        <v>90</v>
      </c>
      <c r="H86" s="4" t="s">
        <v>65</v>
      </c>
      <c r="I86" cm="1">
        <f t="array" ref="I86">_xlfn.LET(
_xlpm.id,A86,
_xlpm.events,_xlfn._xlws.FILTER($G$2:$G$136,$A$2:$A$136=_xlpm.id),
ROWS(_xlfn.UNIQUE(_xlpm.events))
)</f>
        <v>1</v>
      </c>
      <c r="J86" s="4" t="str" cm="1">
        <f t="array" ref="J86">IF(G86="","",_xlfn.LET(
_xlpm.events,_xlfn.UNIQUE(_xlfn._xlws.FILTER($G$2:$G$136,$G$2:$G$136&lt;&gt;"")),
"E"&amp;TEXT(_xlfn.XMATCH(G86,_xlpm.events,0),"00")
))</f>
        <v>E27</v>
      </c>
    </row>
    <row r="87" spans="1:10" ht="86.4">
      <c r="A87" s="11" t="s">
        <v>38</v>
      </c>
      <c r="B87" s="5">
        <v>43514</v>
      </c>
      <c r="C87" s="5">
        <v>43539</v>
      </c>
      <c r="D87" s="4">
        <v>2</v>
      </c>
      <c r="E87" s="5">
        <v>43516</v>
      </c>
      <c r="F87" s="4">
        <v>124.22712707519531</v>
      </c>
      <c r="G87" s="4" t="s">
        <v>90</v>
      </c>
      <c r="H87" s="4" t="s">
        <v>65</v>
      </c>
      <c r="I87" cm="1">
        <f t="array" ref="I87">_xlfn.LET(
_xlpm.id,A87,
_xlpm.events,_xlfn._xlws.FILTER($G$2:$G$136,$A$2:$A$136=_xlpm.id),
ROWS(_xlfn.UNIQUE(_xlpm.events))
)</f>
        <v>1</v>
      </c>
      <c r="J87" s="4" t="str" cm="1">
        <f t="array" ref="J87">IF(G87="","",_xlfn.LET(
_xlpm.events,_xlfn.UNIQUE(_xlfn._xlws.FILTER($G$2:$G$136,$G$2:$G$136&lt;&gt;"")),
"E"&amp;TEXT(_xlfn.XMATCH(G87,_xlpm.events,0),"00")
))</f>
        <v>E27</v>
      </c>
    </row>
    <row r="88" spans="1:10" ht="86.4">
      <c r="A88" s="11" t="s">
        <v>38</v>
      </c>
      <c r="B88" s="5">
        <v>43514</v>
      </c>
      <c r="C88" s="5">
        <v>43539</v>
      </c>
      <c r="D88" s="4">
        <v>3</v>
      </c>
      <c r="E88" s="5">
        <v>43523</v>
      </c>
      <c r="F88" s="4">
        <v>117.94183349609375</v>
      </c>
      <c r="G88" s="4" t="s">
        <v>90</v>
      </c>
      <c r="H88" s="4" t="s">
        <v>65</v>
      </c>
      <c r="I88" cm="1">
        <f t="array" ref="I88">_xlfn.LET(
_xlpm.id,A88,
_xlpm.events,_xlfn._xlws.FILTER($G$2:$G$136,$A$2:$A$136=_xlpm.id),
ROWS(_xlfn.UNIQUE(_xlpm.events))
)</f>
        <v>1</v>
      </c>
      <c r="J88" s="4" t="str" cm="1">
        <f t="array" ref="J88">IF(G88="","",_xlfn.LET(
_xlpm.events,_xlfn.UNIQUE(_xlfn._xlws.FILTER($G$2:$G$136,$G$2:$G$136&lt;&gt;"")),
"E"&amp;TEXT(_xlfn.XMATCH(G88,_xlpm.events,0),"00")
))</f>
        <v>E27</v>
      </c>
    </row>
    <row r="89" spans="1:10" ht="86.4">
      <c r="A89" s="11" t="s">
        <v>39</v>
      </c>
      <c r="B89" s="5">
        <v>46057</v>
      </c>
      <c r="C89" s="5">
        <v>46155</v>
      </c>
      <c r="D89" s="4">
        <v>1</v>
      </c>
      <c r="E89" s="5">
        <v>46091</v>
      </c>
      <c r="F89" s="4">
        <v>627.33221435546875</v>
      </c>
      <c r="G89" s="4" t="s">
        <v>70</v>
      </c>
      <c r="H89" s="4" t="s">
        <v>65</v>
      </c>
      <c r="I89" cm="1">
        <f t="array" ref="I89">_xlfn.LET(
_xlpm.id,A89,
_xlpm.events,_xlfn._xlws.FILTER($G$2:$G$136,$A$2:$A$136=_xlpm.id),
ROWS(_xlfn.UNIQUE(_xlpm.events))
)</f>
        <v>2</v>
      </c>
      <c r="J89" s="4" t="str" cm="1">
        <f t="array" ref="J89">IF(G89="","",_xlfn.LET(
_xlpm.events,_xlfn.UNIQUE(_xlfn._xlws.FILTER($G$2:$G$136,$G$2:$G$136&lt;&gt;"")),
"E"&amp;TEXT(_xlfn.XMATCH(G89,_xlpm.events,0),"00")
))</f>
        <v>E07</v>
      </c>
    </row>
    <row r="90" spans="1:10" ht="86.4">
      <c r="A90" s="11" t="s">
        <v>39</v>
      </c>
      <c r="B90" s="5">
        <v>46057</v>
      </c>
      <c r="C90" s="5">
        <v>46155</v>
      </c>
      <c r="D90" s="4">
        <v>2</v>
      </c>
      <c r="E90" s="5">
        <v>46085</v>
      </c>
      <c r="F90" s="4">
        <v>611.76007080078125</v>
      </c>
      <c r="G90" s="4" t="s">
        <v>70</v>
      </c>
      <c r="H90" s="4" t="s">
        <v>65</v>
      </c>
      <c r="I90" cm="1">
        <f t="array" ref="I90">_xlfn.LET(
_xlpm.id,A90,
_xlpm.events,_xlfn._xlws.FILTER($G$2:$G$136,$A$2:$A$136=_xlpm.id),
ROWS(_xlfn.UNIQUE(_xlpm.events))
)</f>
        <v>2</v>
      </c>
      <c r="J90" s="4" t="str" cm="1">
        <f t="array" ref="J90">IF(G90="","",_xlfn.LET(
_xlpm.events,_xlfn.UNIQUE(_xlfn._xlws.FILTER($G$2:$G$136,$G$2:$G$136&lt;&gt;"")),
"E"&amp;TEXT(_xlfn.XMATCH(G90,_xlpm.events,0),"00")
))</f>
        <v>E07</v>
      </c>
    </row>
    <row r="91" spans="1:10" ht="86.4">
      <c r="A91" s="11" t="s">
        <v>39</v>
      </c>
      <c r="B91" s="5">
        <v>46057</v>
      </c>
      <c r="C91" s="5">
        <v>46155</v>
      </c>
      <c r="D91" s="4">
        <v>3</v>
      </c>
      <c r="E91" s="5">
        <v>46112</v>
      </c>
      <c r="F91" s="4">
        <v>590.88153076171875</v>
      </c>
      <c r="G91" s="4" t="s">
        <v>80</v>
      </c>
      <c r="H91" s="4" t="s">
        <v>65</v>
      </c>
      <c r="I91" cm="1">
        <f t="array" ref="I91">_xlfn.LET(
_xlpm.id,A91,
_xlpm.events,_xlfn._xlws.FILTER($G$2:$G$136,$A$2:$A$136=_xlpm.id),
ROWS(_xlfn.UNIQUE(_xlpm.events))
)</f>
        <v>2</v>
      </c>
      <c r="J91" s="4" t="str" cm="1">
        <f t="array" ref="J91">IF(G91="","",_xlfn.LET(
_xlpm.events,_xlfn.UNIQUE(_xlfn._xlws.FILTER($G$2:$G$136,$G$2:$G$136&lt;&gt;"")),
"E"&amp;TEXT(_xlfn.XMATCH(G91,_xlpm.events,0),"00")
))</f>
        <v>E17</v>
      </c>
    </row>
    <row r="92" spans="1:10" ht="28.8">
      <c r="A92" s="11" t="s">
        <v>40</v>
      </c>
      <c r="B92" s="5">
        <v>42361</v>
      </c>
      <c r="C92" s="5">
        <v>42397</v>
      </c>
      <c r="D92" s="4">
        <v>1</v>
      </c>
      <c r="E92" s="5">
        <v>42374</v>
      </c>
      <c r="F92" s="4">
        <v>266.29644775390625</v>
      </c>
      <c r="G92" s="4" t="s">
        <v>91</v>
      </c>
      <c r="H92" s="4" t="s">
        <v>63</v>
      </c>
      <c r="I92" cm="1">
        <f t="array" ref="I92">_xlfn.LET(
_xlpm.id,A92,
_xlpm.events,_xlfn._xlws.FILTER($G$2:$G$136,$A$2:$A$136=_xlpm.id),
ROWS(_xlfn.UNIQUE(_xlpm.events))
)</f>
        <v>1</v>
      </c>
      <c r="J92" s="4" t="str" cm="1">
        <f t="array" ref="J92">IF(G92="","",_xlfn.LET(
_xlpm.events,_xlfn.UNIQUE(_xlfn._xlws.FILTER($G$2:$G$136,$G$2:$G$136&lt;&gt;"")),
"E"&amp;TEXT(_xlfn.XMATCH(G92,_xlpm.events,0),"00")
))</f>
        <v>E28</v>
      </c>
    </row>
    <row r="93" spans="1:10" ht="28.8">
      <c r="A93" s="11" t="s">
        <v>40</v>
      </c>
      <c r="B93" s="5">
        <v>42361</v>
      </c>
      <c r="C93" s="5">
        <v>42397</v>
      </c>
      <c r="D93" s="4">
        <v>2</v>
      </c>
      <c r="E93" s="5">
        <v>42376</v>
      </c>
      <c r="F93" s="4">
        <v>264.65521240234375</v>
      </c>
      <c r="G93" s="4" t="s">
        <v>91</v>
      </c>
      <c r="H93" s="4" t="s">
        <v>63</v>
      </c>
      <c r="I93" cm="1">
        <f t="array" ref="I93">_xlfn.LET(
_xlpm.id,A93,
_xlpm.events,_xlfn._xlws.FILTER($G$2:$G$136,$A$2:$A$136=_xlpm.id),
ROWS(_xlfn.UNIQUE(_xlpm.events))
)</f>
        <v>1</v>
      </c>
      <c r="J93" s="4" t="str" cm="1">
        <f t="array" ref="J93">IF(G93="","",_xlfn.LET(
_xlpm.events,_xlfn.UNIQUE(_xlfn._xlws.FILTER($G$2:$G$136,$G$2:$G$136&lt;&gt;"")),
"E"&amp;TEXT(_xlfn.XMATCH(G93,_xlpm.events,0),"00")
))</f>
        <v>E28</v>
      </c>
    </row>
    <row r="94" spans="1:10" ht="28.8">
      <c r="A94" s="11" t="s">
        <v>40</v>
      </c>
      <c r="B94" s="5">
        <v>42361</v>
      </c>
      <c r="C94" s="5">
        <v>42397</v>
      </c>
      <c r="D94" s="4">
        <v>3</v>
      </c>
      <c r="E94" s="5">
        <v>42377</v>
      </c>
      <c r="F94" s="4">
        <v>203.20111083984375</v>
      </c>
      <c r="G94" s="4" t="s">
        <v>91</v>
      </c>
      <c r="H94" s="4" t="s">
        <v>63</v>
      </c>
      <c r="I94" cm="1">
        <f t="array" ref="I94">_xlfn.LET(
_xlpm.id,A94,
_xlpm.events,_xlfn._xlws.FILTER($G$2:$G$136,$A$2:$A$136=_xlpm.id),
ROWS(_xlfn.UNIQUE(_xlpm.events))
)</f>
        <v>1</v>
      </c>
      <c r="J94" s="4" t="str" cm="1">
        <f t="array" ref="J94">IF(G94="","",_xlfn.LET(
_xlpm.events,_xlfn.UNIQUE(_xlfn._xlws.FILTER($G$2:$G$136,$G$2:$G$136&lt;&gt;"")),
"E"&amp;TEXT(_xlfn.XMATCH(G94,_xlpm.events,0),"00")
))</f>
        <v>E28</v>
      </c>
    </row>
    <row r="95" spans="1:10" ht="86.4">
      <c r="A95" s="11" t="s">
        <v>41</v>
      </c>
      <c r="B95" s="5">
        <v>43823</v>
      </c>
      <c r="C95" s="5">
        <v>43852</v>
      </c>
      <c r="D95" s="4">
        <v>1</v>
      </c>
      <c r="E95" s="5">
        <v>43837</v>
      </c>
      <c r="F95" s="4">
        <v>622.11676025390625</v>
      </c>
      <c r="G95" s="4" t="s">
        <v>82</v>
      </c>
      <c r="H95" s="4" t="s">
        <v>65</v>
      </c>
      <c r="I95" cm="1">
        <f t="array" ref="I95">_xlfn.LET(
_xlpm.id,A95,
_xlpm.events,_xlfn._xlws.FILTER($G$2:$G$136,$A$2:$A$136=_xlpm.id),
ROWS(_xlfn.UNIQUE(_xlpm.events))
)</f>
        <v>2</v>
      </c>
      <c r="J95" s="4" t="str" cm="1">
        <f t="array" ref="J95">IF(G95="","",_xlfn.LET(
_xlpm.events,_xlfn.UNIQUE(_xlfn._xlws.FILTER($G$2:$G$136,$G$2:$G$136&lt;&gt;"")),
"E"&amp;TEXT(_xlfn.XMATCH(G95,_xlpm.events,0),"00")
))</f>
        <v>E19</v>
      </c>
    </row>
    <row r="96" spans="1:10" ht="86.4">
      <c r="A96" s="11" t="s">
        <v>41</v>
      </c>
      <c r="B96" s="5">
        <v>43823</v>
      </c>
      <c r="C96" s="5">
        <v>43852</v>
      </c>
      <c r="D96" s="4">
        <v>2</v>
      </c>
      <c r="E96" s="5">
        <v>43839</v>
      </c>
      <c r="F96" s="4">
        <v>551.646240234375</v>
      </c>
      <c r="G96" s="4" t="s">
        <v>81</v>
      </c>
      <c r="H96" s="4" t="s">
        <v>65</v>
      </c>
      <c r="I96" cm="1">
        <f t="array" ref="I96">_xlfn.LET(
_xlpm.id,A96,
_xlpm.events,_xlfn._xlws.FILTER($G$2:$G$136,$A$2:$A$136=_xlpm.id),
ROWS(_xlfn.UNIQUE(_xlpm.events))
)</f>
        <v>2</v>
      </c>
      <c r="J96" s="4" t="str" cm="1">
        <f t="array" ref="J96">IF(G96="","",_xlfn.LET(
_xlpm.events,_xlfn.UNIQUE(_xlfn._xlws.FILTER($G$2:$G$136,$G$2:$G$136&lt;&gt;"")),
"E"&amp;TEXT(_xlfn.XMATCH(G96,_xlpm.events,0),"00")
))</f>
        <v>E18</v>
      </c>
    </row>
    <row r="97" spans="1:10" ht="86.4">
      <c r="A97" s="11" t="s">
        <v>41</v>
      </c>
      <c r="B97" s="5">
        <v>43823</v>
      </c>
      <c r="C97" s="5">
        <v>43852</v>
      </c>
      <c r="D97" s="4">
        <v>3</v>
      </c>
      <c r="E97" s="5">
        <v>43836</v>
      </c>
      <c r="F97" s="4">
        <v>320.62907918294269</v>
      </c>
      <c r="G97" s="4" t="s">
        <v>82</v>
      </c>
      <c r="H97" s="4" t="s">
        <v>65</v>
      </c>
      <c r="I97" cm="1">
        <f t="array" ref="I97">_xlfn.LET(
_xlpm.id,A97,
_xlpm.events,_xlfn._xlws.FILTER($G$2:$G$136,$A$2:$A$136=_xlpm.id),
ROWS(_xlfn.UNIQUE(_xlpm.events))
)</f>
        <v>2</v>
      </c>
      <c r="J97" s="4" t="str" cm="1">
        <f t="array" ref="J97">IF(G97="","",_xlfn.LET(
_xlpm.events,_xlfn.UNIQUE(_xlfn._xlws.FILTER($G$2:$G$136,$G$2:$G$136&lt;&gt;"")),
"E"&amp;TEXT(_xlfn.XMATCH(G97,_xlpm.events,0),"00")
))</f>
        <v>E19</v>
      </c>
    </row>
    <row r="98" spans="1:10" ht="86.4">
      <c r="A98" s="11" t="s">
        <v>42</v>
      </c>
      <c r="B98" s="5">
        <v>44320</v>
      </c>
      <c r="C98" s="5">
        <v>44354</v>
      </c>
      <c r="D98" s="4">
        <v>1</v>
      </c>
      <c r="E98" s="5">
        <v>44341</v>
      </c>
      <c r="F98" s="4">
        <v>276.6029052734375</v>
      </c>
      <c r="G98" s="4" t="s">
        <v>67</v>
      </c>
      <c r="H98" s="4" t="s">
        <v>65</v>
      </c>
      <c r="I98" cm="1">
        <f t="array" ref="I98">_xlfn.LET(
_xlpm.id,A98,
_xlpm.events,_xlfn._xlws.FILTER($G$2:$G$136,$A$2:$A$136=_xlpm.id),
ROWS(_xlfn.UNIQUE(_xlpm.events))
)</f>
        <v>2</v>
      </c>
      <c r="J98" s="4" t="str" cm="1">
        <f t="array" ref="J98">IF(G98="","",_xlfn.LET(
_xlpm.events,_xlfn.UNIQUE(_xlfn._xlws.FILTER($G$2:$G$136,$G$2:$G$136&lt;&gt;"")),
"E"&amp;TEXT(_xlfn.XMATCH(G98,_xlpm.events,0),"00")
))</f>
        <v>E04</v>
      </c>
    </row>
    <row r="99" spans="1:10" ht="86.4">
      <c r="A99" s="11" t="s">
        <v>42</v>
      </c>
      <c r="B99" s="5">
        <v>44320</v>
      </c>
      <c r="C99" s="5">
        <v>44354</v>
      </c>
      <c r="D99" s="4">
        <v>2</v>
      </c>
      <c r="E99" s="5">
        <v>44342</v>
      </c>
      <c r="F99" s="4">
        <v>243.57121276855469</v>
      </c>
      <c r="G99" s="4" t="s">
        <v>67</v>
      </c>
      <c r="H99" s="4" t="s">
        <v>65</v>
      </c>
      <c r="I99" cm="1">
        <f t="array" ref="I99">_xlfn.LET(
_xlpm.id,A99,
_xlpm.events,_xlfn._xlws.FILTER($G$2:$G$136,$A$2:$A$136=_xlpm.id),
ROWS(_xlfn.UNIQUE(_xlpm.events))
)</f>
        <v>2</v>
      </c>
      <c r="J99" s="4" t="str" cm="1">
        <f t="array" ref="J99">IF(G99="","",_xlfn.LET(
_xlpm.events,_xlfn.UNIQUE(_xlfn._xlws.FILTER($G$2:$G$136,$G$2:$G$136&lt;&gt;"")),
"E"&amp;TEXT(_xlfn.XMATCH(G99,_xlpm.events,0),"00")
))</f>
        <v>E04</v>
      </c>
    </row>
    <row r="100" spans="1:10" ht="28.8">
      <c r="A100" s="11" t="s">
        <v>42</v>
      </c>
      <c r="B100" s="5">
        <v>44320</v>
      </c>
      <c r="C100" s="5">
        <v>44354</v>
      </c>
      <c r="D100" s="4">
        <v>3</v>
      </c>
      <c r="E100" s="5">
        <v>44335</v>
      </c>
      <c r="F100" s="4">
        <v>204.66900634765625</v>
      </c>
      <c r="G100" s="4" t="s">
        <v>77</v>
      </c>
      <c r="H100" s="4" t="s">
        <v>63</v>
      </c>
      <c r="I100" cm="1">
        <f t="array" ref="I100">_xlfn.LET(
_xlpm.id,A100,
_xlpm.events,_xlfn._xlws.FILTER($G$2:$G$136,$A$2:$A$136=_xlpm.id),
ROWS(_xlfn.UNIQUE(_xlpm.events))
)</f>
        <v>2</v>
      </c>
      <c r="J100" s="4" t="str" cm="1">
        <f t="array" ref="J100">IF(G100="","",_xlfn.LET(
_xlpm.events,_xlfn.UNIQUE(_xlfn._xlws.FILTER($G$2:$G$136,$G$2:$G$136&lt;&gt;"")),
"E"&amp;TEXT(_xlfn.XMATCH(G100,_xlpm.events,0),"00")
))</f>
        <v>E14</v>
      </c>
    </row>
    <row r="101" spans="1:10" ht="28.8">
      <c r="A101" s="11" t="s">
        <v>43</v>
      </c>
      <c r="B101" s="5">
        <v>44602</v>
      </c>
      <c r="C101" s="5">
        <v>44636</v>
      </c>
      <c r="D101" s="4">
        <v>1</v>
      </c>
      <c r="E101" s="5">
        <v>44621</v>
      </c>
      <c r="F101" s="4">
        <v>809.48681640625</v>
      </c>
      <c r="G101" s="4" t="s">
        <v>92</v>
      </c>
      <c r="H101" s="4" t="s">
        <v>63</v>
      </c>
      <c r="I101" cm="1">
        <f t="array" ref="I101">_xlfn.LET(
_xlpm.id,A101,
_xlpm.events,_xlfn._xlws.FILTER($G$2:$G$136,$A$2:$A$136=_xlpm.id),
ROWS(_xlfn.UNIQUE(_xlpm.events))
)</f>
        <v>1</v>
      </c>
      <c r="J101" s="4" t="str" cm="1">
        <f t="array" ref="J101">IF(G101="","",_xlfn.LET(
_xlpm.events,_xlfn.UNIQUE(_xlfn._xlws.FILTER($G$2:$G$136,$G$2:$G$136&lt;&gt;"")),
"E"&amp;TEXT(_xlfn.XMATCH(G101,_xlpm.events,0),"00")
))</f>
        <v>E29</v>
      </c>
    </row>
    <row r="102" spans="1:10" ht="28.8">
      <c r="A102" s="11" t="s">
        <v>43</v>
      </c>
      <c r="B102" s="5">
        <v>44602</v>
      </c>
      <c r="C102" s="5">
        <v>44636</v>
      </c>
      <c r="D102" s="4">
        <v>2</v>
      </c>
      <c r="E102" s="5">
        <v>44617</v>
      </c>
      <c r="F102" s="4">
        <v>797.75244140625</v>
      </c>
      <c r="G102" s="4" t="s">
        <v>92</v>
      </c>
      <c r="H102" s="4" t="s">
        <v>63</v>
      </c>
      <c r="I102" cm="1">
        <f t="array" ref="I102">_xlfn.LET(
_xlpm.id,A102,
_xlpm.events,_xlfn._xlws.FILTER($G$2:$G$136,$A$2:$A$136=_xlpm.id),
ROWS(_xlfn.UNIQUE(_xlpm.events))
)</f>
        <v>1</v>
      </c>
      <c r="J102" s="4" t="str" cm="1">
        <f t="array" ref="J102">IF(G102="","",_xlfn.LET(
_xlpm.events,_xlfn.UNIQUE(_xlfn._xlws.FILTER($G$2:$G$136,$G$2:$G$136&lt;&gt;"")),
"E"&amp;TEXT(_xlfn.XMATCH(G102,_xlpm.events,0),"00")
))</f>
        <v>E29</v>
      </c>
    </row>
    <row r="103" spans="1:10" ht="28.8">
      <c r="A103" s="11" t="s">
        <v>43</v>
      </c>
      <c r="B103" s="5">
        <v>44602</v>
      </c>
      <c r="C103" s="5">
        <v>44636</v>
      </c>
      <c r="D103" s="4">
        <v>3</v>
      </c>
      <c r="E103" s="5">
        <v>44622</v>
      </c>
      <c r="F103" s="4">
        <v>778.19549560546875</v>
      </c>
      <c r="G103" s="4" t="s">
        <v>92</v>
      </c>
      <c r="H103" s="4" t="s">
        <v>63</v>
      </c>
      <c r="I103" cm="1">
        <f t="array" ref="I103">_xlfn.LET(
_xlpm.id,A103,
_xlpm.events,_xlfn._xlws.FILTER($G$2:$G$136,$A$2:$A$136=_xlpm.id),
ROWS(_xlfn.UNIQUE(_xlpm.events))
)</f>
        <v>1</v>
      </c>
      <c r="J103" s="4" t="str" cm="1">
        <f t="array" ref="J103">IF(G103="","",_xlfn.LET(
_xlpm.events,_xlfn.UNIQUE(_xlfn._xlws.FILTER($G$2:$G$136,$G$2:$G$136&lt;&gt;"")),
"E"&amp;TEXT(_xlfn.XMATCH(G103,_xlpm.events,0),"00")
))</f>
        <v>E29</v>
      </c>
    </row>
    <row r="104" spans="1:10" ht="28.8">
      <c r="A104" s="11" t="s">
        <v>44</v>
      </c>
      <c r="B104" s="5">
        <v>45813</v>
      </c>
      <c r="C104" s="5">
        <v>45845</v>
      </c>
      <c r="D104" s="4">
        <v>1</v>
      </c>
      <c r="E104" s="5">
        <v>45826</v>
      </c>
      <c r="F104" s="4">
        <v>482.1663818359375</v>
      </c>
      <c r="G104" s="4" t="s">
        <v>83</v>
      </c>
      <c r="H104" s="4" t="s">
        <v>63</v>
      </c>
      <c r="I104" cm="1">
        <f t="array" ref="I104">_xlfn.LET(
_xlpm.id,A104,
_xlpm.events,_xlfn._xlws.FILTER($G$2:$G$136,$A$2:$A$136=_xlpm.id),
ROWS(_xlfn.UNIQUE(_xlpm.events))
)</f>
        <v>1</v>
      </c>
      <c r="J104" s="4" t="str" cm="1">
        <f t="array" ref="J104">IF(G104="","",_xlfn.LET(
_xlpm.events,_xlfn.UNIQUE(_xlfn._xlws.FILTER($G$2:$G$136,$G$2:$G$136&lt;&gt;"")),
"E"&amp;TEXT(_xlfn.XMATCH(G104,_xlpm.events,0),"00")
))</f>
        <v>E20</v>
      </c>
    </row>
    <row r="105" spans="1:10" ht="28.8">
      <c r="A105" s="11" t="s">
        <v>44</v>
      </c>
      <c r="B105" s="5">
        <v>45813</v>
      </c>
      <c r="C105" s="5">
        <v>45845</v>
      </c>
      <c r="D105" s="4">
        <v>2</v>
      </c>
      <c r="E105" s="5">
        <v>45833</v>
      </c>
      <c r="F105" s="4">
        <v>462.94183349609375</v>
      </c>
      <c r="G105" s="4" t="s">
        <v>83</v>
      </c>
      <c r="H105" s="4" t="s">
        <v>63</v>
      </c>
      <c r="I105" cm="1">
        <f t="array" ref="I105">_xlfn.LET(
_xlpm.id,A105,
_xlpm.events,_xlfn._xlws.FILTER($G$2:$G$136,$A$2:$A$136=_xlpm.id),
ROWS(_xlfn.UNIQUE(_xlpm.events))
)</f>
        <v>1</v>
      </c>
      <c r="J105" s="4" t="str" cm="1">
        <f t="array" ref="J105">IF(G105="","",_xlfn.LET(
_xlpm.events,_xlfn.UNIQUE(_xlfn._xlws.FILTER($G$2:$G$136,$G$2:$G$136&lt;&gt;"")),
"E"&amp;TEXT(_xlfn.XMATCH(G105,_xlpm.events,0),"00")
))</f>
        <v>E20</v>
      </c>
    </row>
    <row r="106" spans="1:10" ht="28.8">
      <c r="A106" s="11" t="s">
        <v>44</v>
      </c>
      <c r="B106" s="5">
        <v>45813</v>
      </c>
      <c r="C106" s="5">
        <v>45845</v>
      </c>
      <c r="D106" s="4">
        <v>3</v>
      </c>
      <c r="E106" s="5">
        <v>45832</v>
      </c>
      <c r="F106" s="4">
        <v>436.0411376953125</v>
      </c>
      <c r="G106" s="4" t="s">
        <v>83</v>
      </c>
      <c r="H106" s="4" t="s">
        <v>63</v>
      </c>
      <c r="I106" cm="1">
        <f t="array" ref="I106">_xlfn.LET(
_xlpm.id,A106,
_xlpm.events,_xlfn._xlws.FILTER($G$2:$G$136,$A$2:$A$136=_xlpm.id),
ROWS(_xlfn.UNIQUE(_xlpm.events))
)</f>
        <v>1</v>
      </c>
      <c r="J106" s="4" t="str" cm="1">
        <f t="array" ref="J106">IF(G106="","",_xlfn.LET(
_xlpm.events,_xlfn.UNIQUE(_xlfn._xlws.FILTER($G$2:$G$136,$G$2:$G$136&lt;&gt;"")),
"E"&amp;TEXT(_xlfn.XMATCH(G106,_xlpm.events,0),"00")
))</f>
        <v>E20</v>
      </c>
    </row>
    <row r="107" spans="1:10" ht="28.8">
      <c r="A107" s="11" t="s">
        <v>45</v>
      </c>
      <c r="B107" s="5">
        <v>41705</v>
      </c>
      <c r="C107" s="5">
        <v>41723</v>
      </c>
      <c r="D107" s="4">
        <v>1</v>
      </c>
      <c r="E107" s="5">
        <v>41716</v>
      </c>
      <c r="F107" s="4">
        <v>300.75808715820313</v>
      </c>
      <c r="G107" s="4" t="s">
        <v>93</v>
      </c>
      <c r="H107" s="4" t="s">
        <v>63</v>
      </c>
      <c r="I107" cm="1">
        <f t="array" ref="I107">_xlfn.LET(
_xlpm.id,A107,
_xlpm.events,_xlfn._xlws.FILTER($G$2:$G$136,$A$2:$A$136=_xlpm.id),
ROWS(_xlfn.UNIQUE(_xlpm.events))
)</f>
        <v>1</v>
      </c>
      <c r="J107" s="4" t="str" cm="1">
        <f t="array" ref="J107">IF(G107="","",_xlfn.LET(
_xlpm.events,_xlfn.UNIQUE(_xlfn._xlws.FILTER($G$2:$G$136,$G$2:$G$136&lt;&gt;"")),
"E"&amp;TEXT(_xlfn.XMATCH(G107,_xlpm.events,0),"00")
))</f>
        <v>E30</v>
      </c>
    </row>
    <row r="108" spans="1:10" ht="28.8">
      <c r="A108" s="11" t="s">
        <v>45</v>
      </c>
      <c r="B108" s="5">
        <v>41705</v>
      </c>
      <c r="C108" s="5">
        <v>41723</v>
      </c>
      <c r="D108" s="4">
        <v>2</v>
      </c>
      <c r="E108" s="5">
        <v>41723</v>
      </c>
      <c r="F108" s="4">
        <v>197.27215576171875</v>
      </c>
      <c r="G108" s="4" t="s">
        <v>93</v>
      </c>
      <c r="H108" s="4" t="s">
        <v>63</v>
      </c>
      <c r="I108" cm="1">
        <f t="array" ref="I108">_xlfn.LET(
_xlpm.id,A108,
_xlpm.events,_xlfn._xlws.FILTER($G$2:$G$136,$A$2:$A$136=_xlpm.id),
ROWS(_xlfn.UNIQUE(_xlpm.events))
)</f>
        <v>1</v>
      </c>
      <c r="J108" s="4" t="str" cm="1">
        <f t="array" ref="J108">IF(G108="","",_xlfn.LET(
_xlpm.events,_xlfn.UNIQUE(_xlfn._xlws.FILTER($G$2:$G$136,$G$2:$G$136&lt;&gt;"")),
"E"&amp;TEXT(_xlfn.XMATCH(G108,_xlpm.events,0),"00")
))</f>
        <v>E30</v>
      </c>
    </row>
    <row r="109" spans="1:10" ht="28.8">
      <c r="A109" s="11" t="s">
        <v>45</v>
      </c>
      <c r="B109" s="5">
        <v>41705</v>
      </c>
      <c r="C109" s="5">
        <v>41723</v>
      </c>
      <c r="D109" s="4">
        <v>3</v>
      </c>
      <c r="E109" s="5">
        <v>41705</v>
      </c>
      <c r="F109" s="4">
        <v>189.33396911621094</v>
      </c>
      <c r="G109" s="4" t="s">
        <v>93</v>
      </c>
      <c r="H109" s="4" t="s">
        <v>63</v>
      </c>
      <c r="I109" cm="1">
        <f t="array" ref="I109">_xlfn.LET(
_xlpm.id,A109,
_xlpm.events,_xlfn._xlws.FILTER($G$2:$G$136,$A$2:$A$136=_xlpm.id),
ROWS(_xlfn.UNIQUE(_xlpm.events))
)</f>
        <v>1</v>
      </c>
      <c r="J109" s="4" t="str" cm="1">
        <f t="array" ref="J109">IF(G109="","",_xlfn.LET(
_xlpm.events,_xlfn.UNIQUE(_xlfn._xlws.FILTER($G$2:$G$136,$G$2:$G$136&lt;&gt;"")),
"E"&amp;TEXT(_xlfn.XMATCH(G109,_xlpm.events,0),"00")
))</f>
        <v>E30</v>
      </c>
    </row>
    <row r="110" spans="1:10" ht="86.4">
      <c r="A110" s="11" t="s">
        <v>46</v>
      </c>
      <c r="B110" s="5">
        <v>41865</v>
      </c>
      <c r="C110" s="5">
        <v>41879</v>
      </c>
      <c r="D110" s="4">
        <v>1</v>
      </c>
      <c r="E110" s="5">
        <v>41870</v>
      </c>
      <c r="F110" s="4">
        <v>260.62188720703125</v>
      </c>
      <c r="G110" s="4" t="s">
        <v>94</v>
      </c>
      <c r="H110" s="4" t="s">
        <v>65</v>
      </c>
      <c r="I110" cm="1">
        <f t="array" ref="I110">_xlfn.LET(
_xlpm.id,A110,
_xlpm.events,_xlfn._xlws.FILTER($G$2:$G$136,$A$2:$A$136=_xlpm.id),
ROWS(_xlfn.UNIQUE(_xlpm.events))
)</f>
        <v>3</v>
      </c>
      <c r="J110" s="4" t="str" cm="1">
        <f t="array" ref="J110">IF(G110="","",_xlfn.LET(
_xlpm.events,_xlfn.UNIQUE(_xlfn._xlws.FILTER($G$2:$G$136,$G$2:$G$136&lt;&gt;"")),
"E"&amp;TEXT(_xlfn.XMATCH(G110,_xlpm.events,0),"00")
))</f>
        <v>E31</v>
      </c>
    </row>
    <row r="111" spans="1:10" ht="86.4">
      <c r="A111" s="11" t="s">
        <v>46</v>
      </c>
      <c r="B111" s="5">
        <v>41865</v>
      </c>
      <c r="C111" s="5">
        <v>41879</v>
      </c>
      <c r="D111" s="4">
        <v>2</v>
      </c>
      <c r="E111" s="5">
        <v>41878</v>
      </c>
      <c r="F111" s="4">
        <v>165.84709167480469</v>
      </c>
      <c r="G111" s="4" t="s">
        <v>95</v>
      </c>
      <c r="H111" s="4" t="s">
        <v>65</v>
      </c>
      <c r="I111" cm="1">
        <f t="array" ref="I111">_xlfn.LET(
_xlpm.id,A111,
_xlpm.events,_xlfn._xlws.FILTER($G$2:$G$136,$A$2:$A$136=_xlpm.id),
ROWS(_xlfn.UNIQUE(_xlpm.events))
)</f>
        <v>3</v>
      </c>
      <c r="J111" s="4" t="str" cm="1">
        <f t="array" ref="J111">IF(G111="","",_xlfn.LET(
_xlpm.events,_xlfn.UNIQUE(_xlfn._xlws.FILTER($G$2:$G$136,$G$2:$G$136&lt;&gt;"")),
"E"&amp;TEXT(_xlfn.XMATCH(G111,_xlpm.events,0),"00")
))</f>
        <v>E32</v>
      </c>
    </row>
    <row r="112" spans="1:10" ht="86.4">
      <c r="A112" s="11" t="s">
        <v>46</v>
      </c>
      <c r="B112" s="5">
        <v>41865</v>
      </c>
      <c r="C112" s="5">
        <v>41879</v>
      </c>
      <c r="D112" s="4">
        <v>3</v>
      </c>
      <c r="E112" s="5">
        <v>41866</v>
      </c>
      <c r="F112" s="4">
        <v>155.58172607421875</v>
      </c>
      <c r="G112" s="4" t="s">
        <v>96</v>
      </c>
      <c r="H112" s="4" t="s">
        <v>65</v>
      </c>
      <c r="I112" cm="1">
        <f t="array" ref="I112">_xlfn.LET(
_xlpm.id,A112,
_xlpm.events,_xlfn._xlws.FILTER($G$2:$G$136,$A$2:$A$136=_xlpm.id),
ROWS(_xlfn.UNIQUE(_xlpm.events))
)</f>
        <v>3</v>
      </c>
      <c r="J112" s="4" t="str" cm="1">
        <f t="array" ref="J112">IF(G112="","",_xlfn.LET(
_xlpm.events,_xlfn.UNIQUE(_xlfn._xlws.FILTER($G$2:$G$136,$G$2:$G$136&lt;&gt;"")),
"E"&amp;TEXT(_xlfn.XMATCH(G112,_xlpm.events,0),"00")
))</f>
        <v>E33</v>
      </c>
    </row>
    <row r="113" spans="1:10" ht="86.4">
      <c r="A113" s="11" t="s">
        <v>47</v>
      </c>
      <c r="B113" s="5">
        <v>42307</v>
      </c>
      <c r="C113" s="5">
        <v>42355</v>
      </c>
      <c r="D113" s="4">
        <v>1</v>
      </c>
      <c r="E113" s="5">
        <v>42325</v>
      </c>
      <c r="F113" s="4">
        <v>266.17459106445313</v>
      </c>
      <c r="G113" s="4" t="s">
        <v>64</v>
      </c>
      <c r="H113" s="4" t="s">
        <v>65</v>
      </c>
      <c r="I113" cm="1">
        <f t="array" ref="I113">_xlfn.LET(
_xlpm.id,A113,
_xlpm.events,_xlfn._xlws.FILTER($G$2:$G$136,$A$2:$A$136=_xlpm.id),
ROWS(_xlfn.UNIQUE(_xlpm.events))
)</f>
        <v>2</v>
      </c>
      <c r="J113" s="4" t="str" cm="1">
        <f t="array" ref="J113">IF(G113="","",_xlfn.LET(
_xlpm.events,_xlfn.UNIQUE(_xlfn._xlws.FILTER($G$2:$G$136,$G$2:$G$136&lt;&gt;"")),
"E"&amp;TEXT(_xlfn.XMATCH(G113,_xlpm.events,0),"00")
))</f>
        <v>E02</v>
      </c>
    </row>
    <row r="114" spans="1:10" ht="86.4">
      <c r="A114" s="11" t="s">
        <v>47</v>
      </c>
      <c r="B114" s="5">
        <v>42307</v>
      </c>
      <c r="C114" s="5">
        <v>42355</v>
      </c>
      <c r="D114" s="4">
        <v>2</v>
      </c>
      <c r="E114" s="5">
        <v>42332</v>
      </c>
      <c r="F114" s="4">
        <v>238.09420776367188</v>
      </c>
      <c r="G114" s="4" t="s">
        <v>66</v>
      </c>
      <c r="H114" s="4" t="s">
        <v>65</v>
      </c>
      <c r="I114" cm="1">
        <f t="array" ref="I114">_xlfn.LET(
_xlpm.id,A114,
_xlpm.events,_xlfn._xlws.FILTER($G$2:$G$136,$A$2:$A$136=_xlpm.id),
ROWS(_xlfn.UNIQUE(_xlpm.events))
)</f>
        <v>2</v>
      </c>
      <c r="J114" s="4" t="str" cm="1">
        <f t="array" ref="J114">IF(G114="","",_xlfn.LET(
_xlpm.events,_xlfn.UNIQUE(_xlfn._xlws.FILTER($G$2:$G$136,$G$2:$G$136&lt;&gt;"")),
"E"&amp;TEXT(_xlfn.XMATCH(G114,_xlpm.events,0),"00")
))</f>
        <v>E03</v>
      </c>
    </row>
    <row r="115" spans="1:10" ht="86.4">
      <c r="A115" s="11" t="s">
        <v>47</v>
      </c>
      <c r="B115" s="5">
        <v>42307</v>
      </c>
      <c r="C115" s="5">
        <v>42355</v>
      </c>
      <c r="D115" s="4">
        <v>3</v>
      </c>
      <c r="E115" s="5">
        <v>42335</v>
      </c>
      <c r="F115" s="4">
        <v>212.76165771484375</v>
      </c>
      <c r="G115" s="4" t="s">
        <v>66</v>
      </c>
      <c r="H115" s="4" t="s">
        <v>65</v>
      </c>
      <c r="I115" cm="1">
        <f t="array" ref="I115">_xlfn.LET(
_xlpm.id,A115,
_xlpm.events,_xlfn._xlws.FILTER($G$2:$G$136,$A$2:$A$136=_xlpm.id),
ROWS(_xlfn.UNIQUE(_xlpm.events))
)</f>
        <v>2</v>
      </c>
      <c r="J115" s="4" t="str" cm="1">
        <f t="array" ref="J115">IF(G115="","",_xlfn.LET(
_xlpm.events,_xlfn.UNIQUE(_xlfn._xlws.FILTER($G$2:$G$136,$G$2:$G$136&lt;&gt;"")),
"E"&amp;TEXT(_xlfn.XMATCH(G115,_xlpm.events,0),"00")
))</f>
        <v>E03</v>
      </c>
    </row>
    <row r="116" spans="1:10" ht="86.4">
      <c r="A116" s="11" t="s">
        <v>48</v>
      </c>
      <c r="B116" s="5">
        <v>43728</v>
      </c>
      <c r="C116" s="5">
        <v>43746</v>
      </c>
      <c r="D116" s="4">
        <v>1</v>
      </c>
      <c r="E116" s="5">
        <v>43735</v>
      </c>
      <c r="F116" s="4">
        <v>146.44197082519531</v>
      </c>
      <c r="G116" s="4" t="s">
        <v>73</v>
      </c>
      <c r="H116" s="4" t="s">
        <v>65</v>
      </c>
      <c r="I116" cm="1">
        <f t="array" ref="I116">_xlfn.LET(
_xlpm.id,A116,
_xlpm.events,_xlfn._xlws.FILTER($G$2:$G$136,$A$2:$A$136=_xlpm.id),
ROWS(_xlfn.UNIQUE(_xlpm.events))
)</f>
        <v>2</v>
      </c>
      <c r="J116" s="4" t="str" cm="1">
        <f t="array" ref="J116">IF(G116="","",_xlfn.LET(
_xlpm.events,_xlfn.UNIQUE(_xlfn._xlws.FILTER($G$2:$G$136,$G$2:$G$136&lt;&gt;"")),
"E"&amp;TEXT(_xlfn.XMATCH(G116,_xlpm.events,0),"00")
))</f>
        <v>E10</v>
      </c>
    </row>
    <row r="117" spans="1:10" ht="86.4">
      <c r="A117" s="11" t="s">
        <v>48</v>
      </c>
      <c r="B117" s="5">
        <v>43728</v>
      </c>
      <c r="C117" s="5">
        <v>43746</v>
      </c>
      <c r="D117" s="4">
        <v>2</v>
      </c>
      <c r="E117" s="5">
        <v>43733</v>
      </c>
      <c r="F117" s="4">
        <v>142.35160827636719</v>
      </c>
      <c r="G117" s="4" t="s">
        <v>73</v>
      </c>
      <c r="H117" s="4" t="s">
        <v>65</v>
      </c>
      <c r="I117" cm="1">
        <f t="array" ref="I117">_xlfn.LET(
_xlpm.id,A117,
_xlpm.events,_xlfn._xlws.FILTER($G$2:$G$136,$A$2:$A$136=_xlpm.id),
ROWS(_xlfn.UNIQUE(_xlpm.events))
)</f>
        <v>2</v>
      </c>
      <c r="J117" s="4" t="str" cm="1">
        <f t="array" ref="J117">IF(G117="","",_xlfn.LET(
_xlpm.events,_xlfn.UNIQUE(_xlfn._xlws.FILTER($G$2:$G$136,$G$2:$G$136&lt;&gt;"")),
"E"&amp;TEXT(_xlfn.XMATCH(G117,_xlpm.events,0),"00")
))</f>
        <v>E10</v>
      </c>
    </row>
    <row r="118" spans="1:10" ht="86.4">
      <c r="A118" s="11" t="s">
        <v>48</v>
      </c>
      <c r="B118" s="5">
        <v>43728</v>
      </c>
      <c r="C118" s="5">
        <v>43746</v>
      </c>
      <c r="D118" s="4">
        <v>3</v>
      </c>
      <c r="E118" s="5">
        <v>43742</v>
      </c>
      <c r="F118" s="4">
        <v>135.23403930664063</v>
      </c>
      <c r="G118" s="4" t="s">
        <v>74</v>
      </c>
      <c r="H118" s="4" t="s">
        <v>65</v>
      </c>
      <c r="I118" cm="1">
        <f t="array" ref="I118">_xlfn.LET(
_xlpm.id,A118,
_xlpm.events,_xlfn._xlws.FILTER($G$2:$G$136,$A$2:$A$136=_xlpm.id),
ROWS(_xlfn.UNIQUE(_xlpm.events))
)</f>
        <v>2</v>
      </c>
      <c r="J118" s="4" t="str" cm="1">
        <f t="array" ref="J118">IF(G118="","",_xlfn.LET(
_xlpm.events,_xlfn.UNIQUE(_xlfn._xlws.FILTER($G$2:$G$136,$G$2:$G$136&lt;&gt;"")),
"E"&amp;TEXT(_xlfn.XMATCH(G118,_xlpm.events,0),"00")
))</f>
        <v>E11</v>
      </c>
    </row>
    <row r="119" spans="1:10" ht="86.4">
      <c r="A119" s="11" t="s">
        <v>49</v>
      </c>
      <c r="B119" s="5">
        <v>46107</v>
      </c>
      <c r="C119" s="5">
        <v>46120</v>
      </c>
      <c r="D119" s="4">
        <v>1</v>
      </c>
      <c r="E119" s="5">
        <v>46112</v>
      </c>
      <c r="F119" s="4">
        <v>492.85354614257813</v>
      </c>
      <c r="G119" s="4" t="s">
        <v>80</v>
      </c>
      <c r="H119" s="4" t="s">
        <v>65</v>
      </c>
      <c r="I119" cm="1">
        <f t="array" ref="I119">_xlfn.LET(
_xlpm.id,A119,
_xlpm.events,_xlfn._xlws.FILTER($G$2:$G$136,$A$2:$A$136=_xlpm.id),
ROWS(_xlfn.UNIQUE(_xlpm.events))
)</f>
        <v>1</v>
      </c>
      <c r="J119" s="4" t="str" cm="1">
        <f t="array" ref="J119">IF(G119="","",_xlfn.LET(
_xlpm.events,_xlfn.UNIQUE(_xlfn._xlws.FILTER($G$2:$G$136,$G$2:$G$136&lt;&gt;"")),
"E"&amp;TEXT(_xlfn.XMATCH(G119,_xlpm.events,0),"00")
))</f>
        <v>E17</v>
      </c>
    </row>
    <row r="120" spans="1:10" ht="86.4">
      <c r="A120" s="11" t="s">
        <v>49</v>
      </c>
      <c r="B120" s="5">
        <v>46107</v>
      </c>
      <c r="C120" s="5">
        <v>46120</v>
      </c>
      <c r="D120" s="4">
        <v>2</v>
      </c>
      <c r="E120" s="5">
        <v>46114</v>
      </c>
      <c r="F120" s="4">
        <v>357.85009765625</v>
      </c>
      <c r="G120" s="4" t="s">
        <v>80</v>
      </c>
      <c r="H120" s="4" t="s">
        <v>65</v>
      </c>
      <c r="I120" cm="1">
        <f t="array" ref="I120">_xlfn.LET(
_xlpm.id,A120,
_xlpm.events,_xlfn._xlws.FILTER($G$2:$G$136,$A$2:$A$136=_xlpm.id),
ROWS(_xlfn.UNIQUE(_xlpm.events))
)</f>
        <v>1</v>
      </c>
      <c r="J120" s="4" t="str" cm="1">
        <f t="array" ref="J120">IF(G120="","",_xlfn.LET(
_xlpm.events,_xlfn.UNIQUE(_xlfn._xlws.FILTER($G$2:$G$136,$G$2:$G$136&lt;&gt;"")),
"E"&amp;TEXT(_xlfn.XMATCH(G120,_xlpm.events,0),"00")
))</f>
        <v>E17</v>
      </c>
    </row>
    <row r="121" spans="1:10" ht="86.4">
      <c r="A121" s="11" t="s">
        <v>49</v>
      </c>
      <c r="B121" s="5">
        <v>46107</v>
      </c>
      <c r="C121" s="5">
        <v>46120</v>
      </c>
      <c r="D121" s="4">
        <v>3</v>
      </c>
      <c r="E121" s="5">
        <v>46107</v>
      </c>
      <c r="F121" s="4">
        <v>334.74871826171875</v>
      </c>
      <c r="G121" s="4" t="s">
        <v>80</v>
      </c>
      <c r="H121" s="4" t="s">
        <v>65</v>
      </c>
      <c r="I121" cm="1">
        <f t="array" ref="I121">_xlfn.LET(
_xlpm.id,A121,
_xlpm.events,_xlfn._xlws.FILTER($G$2:$G$136,$A$2:$A$136=_xlpm.id),
ROWS(_xlfn.UNIQUE(_xlpm.events))
)</f>
        <v>1</v>
      </c>
      <c r="J121" s="4" t="str" cm="1">
        <f t="array" ref="J121">IF(G121="","",_xlfn.LET(
_xlpm.events,_xlfn.UNIQUE(_xlfn._xlws.FILTER($G$2:$G$136,$G$2:$G$136&lt;&gt;"")),
"E"&amp;TEXT(_xlfn.XMATCH(G121,_xlpm.events,0),"00")
))</f>
        <v>E17</v>
      </c>
    </row>
    <row r="122" spans="1:10" ht="86.4">
      <c r="A122" s="11" t="s">
        <v>50</v>
      </c>
      <c r="B122" s="5">
        <v>42930</v>
      </c>
      <c r="C122" s="5">
        <v>42944</v>
      </c>
      <c r="D122" s="4">
        <v>1</v>
      </c>
      <c r="E122" s="5">
        <v>42934</v>
      </c>
      <c r="F122" s="4">
        <v>163.74969482421875</v>
      </c>
      <c r="G122" s="4" t="s">
        <v>97</v>
      </c>
      <c r="H122" s="4" t="s">
        <v>65</v>
      </c>
      <c r="I122" cm="1">
        <f t="array" ref="I122">_xlfn.LET(
_xlpm.id,A122,
_xlpm.events,_xlfn._xlws.FILTER($G$2:$G$136,$A$2:$A$136=_xlpm.id),
ROWS(_xlfn.UNIQUE(_xlpm.events))
)</f>
        <v>1</v>
      </c>
      <c r="J122" s="4" t="str" cm="1">
        <f t="array" ref="J122">IF(G122="","",_xlfn.LET(
_xlpm.events,_xlfn.UNIQUE(_xlfn._xlws.FILTER($G$2:$G$136,$G$2:$G$136&lt;&gt;"")),
"E"&amp;TEXT(_xlfn.XMATCH(G122,_xlpm.events,0),"00")
))</f>
        <v>E34</v>
      </c>
    </row>
    <row r="123" spans="1:10" ht="86.4">
      <c r="A123" s="11" t="s">
        <v>50</v>
      </c>
      <c r="B123" s="5">
        <v>42930</v>
      </c>
      <c r="C123" s="5">
        <v>42944</v>
      </c>
      <c r="D123" s="4">
        <v>2</v>
      </c>
      <c r="E123" s="5">
        <v>42942</v>
      </c>
      <c r="F123" s="4">
        <v>153.78181457519531</v>
      </c>
      <c r="G123" s="4" t="s">
        <v>97</v>
      </c>
      <c r="H123" s="4" t="s">
        <v>65</v>
      </c>
      <c r="I123" cm="1">
        <f t="array" ref="I123">_xlfn.LET(
_xlpm.id,A123,
_xlpm.events,_xlfn._xlws.FILTER($G$2:$G$136,$A$2:$A$136=_xlpm.id),
ROWS(_xlfn.UNIQUE(_xlpm.events))
)</f>
        <v>1</v>
      </c>
      <c r="J123" s="4" t="str" cm="1">
        <f t="array" ref="J123">IF(G123="","",_xlfn.LET(
_xlpm.events,_xlfn.UNIQUE(_xlfn._xlws.FILTER($G$2:$G$136,$G$2:$G$136&lt;&gt;"")),
"E"&amp;TEXT(_xlfn.XMATCH(G123,_xlpm.events,0),"00")
))</f>
        <v>E34</v>
      </c>
    </row>
    <row r="124" spans="1:10" ht="86.4">
      <c r="A124" s="11" t="s">
        <v>50</v>
      </c>
      <c r="B124" s="5">
        <v>42930</v>
      </c>
      <c r="C124" s="5">
        <v>42944</v>
      </c>
      <c r="D124" s="4">
        <v>3</v>
      </c>
      <c r="E124" s="5">
        <v>42936</v>
      </c>
      <c r="F124" s="4">
        <v>147.48524475097656</v>
      </c>
      <c r="G124" s="4" t="s">
        <v>97</v>
      </c>
      <c r="H124" s="4" t="s">
        <v>65</v>
      </c>
      <c r="I124" cm="1">
        <f t="array" ref="I124">_xlfn.LET(
_xlpm.id,A124,
_xlpm.events,_xlfn._xlws.FILTER($G$2:$G$136,$A$2:$A$136=_xlpm.id),
ROWS(_xlfn.UNIQUE(_xlpm.events))
)</f>
        <v>1</v>
      </c>
      <c r="J124" s="4" t="str" cm="1">
        <f t="array" ref="J124">IF(G124="","",_xlfn.LET(
_xlpm.events,_xlfn.UNIQUE(_xlfn._xlws.FILTER($G$2:$G$136,$G$2:$G$136&lt;&gt;"")),
"E"&amp;TEXT(_xlfn.XMATCH(G124,_xlpm.events,0),"00")
))</f>
        <v>E34</v>
      </c>
    </row>
    <row r="125" spans="1:10" ht="28.8">
      <c r="A125" s="11" t="s">
        <v>51</v>
      </c>
      <c r="B125" s="5">
        <v>44616</v>
      </c>
      <c r="C125" s="5">
        <v>44634</v>
      </c>
      <c r="D125" s="4">
        <v>1</v>
      </c>
      <c r="E125" s="5">
        <v>44621</v>
      </c>
      <c r="F125" s="4">
        <v>809.48681640625</v>
      </c>
      <c r="G125" s="4" t="s">
        <v>92</v>
      </c>
      <c r="H125" s="4" t="s">
        <v>63</v>
      </c>
      <c r="I125" cm="1">
        <f t="array" ref="I125">_xlfn.LET(
_xlpm.id,A125,
_xlpm.events,_xlfn._xlws.FILTER($G$2:$G$136,$A$2:$A$136=_xlpm.id),
ROWS(_xlfn.UNIQUE(_xlpm.events))
)</f>
        <v>1</v>
      </c>
      <c r="J125" s="4" t="str" cm="1">
        <f t="array" ref="J125">IF(G125="","",_xlfn.LET(
_xlpm.events,_xlfn.UNIQUE(_xlfn._xlws.FILTER($G$2:$G$136,$G$2:$G$136&lt;&gt;"")),
"E"&amp;TEXT(_xlfn.XMATCH(G125,_xlpm.events,0),"00")
))</f>
        <v>E29</v>
      </c>
    </row>
    <row r="126" spans="1:10" ht="28.8">
      <c r="A126" s="11" t="s">
        <v>51</v>
      </c>
      <c r="B126" s="5">
        <v>44616</v>
      </c>
      <c r="C126" s="5">
        <v>44634</v>
      </c>
      <c r="D126" s="4">
        <v>2</v>
      </c>
      <c r="E126" s="5">
        <v>44617</v>
      </c>
      <c r="F126" s="4">
        <v>797.75244140625</v>
      </c>
      <c r="G126" s="4" t="s">
        <v>92</v>
      </c>
      <c r="H126" s="4" t="s">
        <v>63</v>
      </c>
      <c r="I126" cm="1">
        <f t="array" ref="I126">_xlfn.LET(
_xlpm.id,A126,
_xlpm.events,_xlfn._xlws.FILTER($G$2:$G$136,$A$2:$A$136=_xlpm.id),
ROWS(_xlfn.UNIQUE(_xlpm.events))
)</f>
        <v>1</v>
      </c>
      <c r="J126" s="4" t="str" cm="1">
        <f t="array" ref="J126">IF(G126="","",_xlfn.LET(
_xlpm.events,_xlfn.UNIQUE(_xlfn._xlws.FILTER($G$2:$G$136,$G$2:$G$136&lt;&gt;"")),
"E"&amp;TEXT(_xlfn.XMATCH(G126,_xlpm.events,0),"00")
))</f>
        <v>E29</v>
      </c>
    </row>
    <row r="127" spans="1:10" ht="28.8">
      <c r="A127" s="11" t="s">
        <v>51</v>
      </c>
      <c r="B127" s="5">
        <v>44616</v>
      </c>
      <c r="C127" s="5">
        <v>44634</v>
      </c>
      <c r="D127" s="4">
        <v>3</v>
      </c>
      <c r="E127" s="5">
        <v>44622</v>
      </c>
      <c r="F127" s="4">
        <v>778.19549560546875</v>
      </c>
      <c r="G127" s="4" t="s">
        <v>92</v>
      </c>
      <c r="H127" s="4" t="s">
        <v>63</v>
      </c>
      <c r="I127" cm="1">
        <f t="array" ref="I127">_xlfn.LET(
_xlpm.id,A127,
_xlpm.events,_xlfn._xlws.FILTER($G$2:$G$136,$A$2:$A$136=_xlpm.id),
ROWS(_xlfn.UNIQUE(_xlpm.events))
)</f>
        <v>1</v>
      </c>
      <c r="J127" s="4" t="str" cm="1">
        <f t="array" ref="J127">IF(G127="","",_xlfn.LET(
_xlpm.events,_xlfn.UNIQUE(_xlfn._xlws.FILTER($G$2:$G$136,$G$2:$G$136&lt;&gt;"")),
"E"&amp;TEXT(_xlfn.XMATCH(G127,_xlpm.events,0),"00")
))</f>
        <v>E29</v>
      </c>
    </row>
    <row r="128" spans="1:10" ht="86.4">
      <c r="A128" s="11" t="s">
        <v>52</v>
      </c>
      <c r="B128" s="5">
        <v>44753</v>
      </c>
      <c r="C128" s="5">
        <v>44767</v>
      </c>
      <c r="D128" s="4">
        <v>1</v>
      </c>
      <c r="E128" s="5">
        <v>44757</v>
      </c>
      <c r="F128" s="4">
        <v>239.52207946777344</v>
      </c>
      <c r="G128" s="4" t="s">
        <v>98</v>
      </c>
      <c r="H128" s="4" t="s">
        <v>65</v>
      </c>
      <c r="I128" cm="1">
        <f t="array" ref="I128">_xlfn.LET(
_xlpm.id,A128,
_xlpm.events,_xlfn._xlws.FILTER($G$2:$G$136,$A$2:$A$136=_xlpm.id),
ROWS(_xlfn.UNIQUE(_xlpm.events))
)</f>
        <v>1</v>
      </c>
      <c r="J128" s="4" t="str" cm="1">
        <f t="array" ref="J128">IF(G128="","",_xlfn.LET(
_xlpm.events,_xlfn.UNIQUE(_xlfn._xlws.FILTER($G$2:$G$136,$G$2:$G$136&lt;&gt;"")),
"E"&amp;TEXT(_xlfn.XMATCH(G128,_xlpm.events,0),"00")
))</f>
        <v>E35</v>
      </c>
    </row>
    <row r="129" spans="1:10" ht="86.4">
      <c r="A129" s="11" t="s">
        <v>52</v>
      </c>
      <c r="B129" s="5">
        <v>44753</v>
      </c>
      <c r="C129" s="5">
        <v>44767</v>
      </c>
      <c r="D129" s="4">
        <v>2</v>
      </c>
      <c r="E129" s="5">
        <v>44762</v>
      </c>
      <c r="F129" s="4">
        <v>239.52207946777344</v>
      </c>
      <c r="G129" s="4" t="s">
        <v>98</v>
      </c>
      <c r="H129" s="4" t="s">
        <v>65</v>
      </c>
      <c r="I129" cm="1">
        <f t="array" ref="I129">_xlfn.LET(
_xlpm.id,A129,
_xlpm.events,_xlfn._xlws.FILTER($G$2:$G$136,$A$2:$A$136=_xlpm.id),
ROWS(_xlfn.UNIQUE(_xlpm.events))
)</f>
        <v>1</v>
      </c>
      <c r="J129" s="4" t="str" cm="1">
        <f t="array" ref="J129">IF(G129="","",_xlfn.LET(
_xlpm.events,_xlfn.UNIQUE(_xlfn._xlws.FILTER($G$2:$G$136,$G$2:$G$136&lt;&gt;"")),
"E"&amp;TEXT(_xlfn.XMATCH(G129,_xlpm.events,0),"00")
))</f>
        <v>E35</v>
      </c>
    </row>
    <row r="130" spans="1:10" ht="86.4">
      <c r="A130" s="11" t="s">
        <v>52</v>
      </c>
      <c r="B130" s="5">
        <v>44753</v>
      </c>
      <c r="C130" s="5">
        <v>44767</v>
      </c>
      <c r="D130" s="4">
        <v>3</v>
      </c>
      <c r="E130" s="5">
        <v>44761</v>
      </c>
      <c r="F130" s="4">
        <v>223.338134765625</v>
      </c>
      <c r="G130" s="4" t="s">
        <v>98</v>
      </c>
      <c r="H130" s="4" t="s">
        <v>65</v>
      </c>
      <c r="I130" cm="1">
        <f t="array" ref="I130">_xlfn.LET(
_xlpm.id,A130,
_xlpm.events,_xlfn._xlws.FILTER($G$2:$G$136,$A$2:$A$136=_xlpm.id),
ROWS(_xlfn.UNIQUE(_xlpm.events))
)</f>
        <v>1</v>
      </c>
      <c r="J130" s="4" t="str" cm="1">
        <f t="array" ref="J130">IF(G130="","",_xlfn.LET(
_xlpm.events,_xlfn.UNIQUE(_xlfn._xlws.FILTER($G$2:$G$136,$G$2:$G$136&lt;&gt;"")),
"E"&amp;TEXT(_xlfn.XMATCH(G130,_xlpm.events,0),"00")
))</f>
        <v>E35</v>
      </c>
    </row>
    <row r="131" spans="1:10" ht="28.8">
      <c r="A131" s="11" t="s">
        <v>53</v>
      </c>
      <c r="B131" s="5">
        <v>45796</v>
      </c>
      <c r="C131" s="5">
        <v>45821</v>
      </c>
      <c r="D131" s="4">
        <v>1</v>
      </c>
      <c r="E131" s="5">
        <v>45798</v>
      </c>
      <c r="F131" s="4">
        <v>349.93695068359375</v>
      </c>
      <c r="G131" s="4" t="s">
        <v>79</v>
      </c>
      <c r="H131" s="4" t="s">
        <v>63</v>
      </c>
      <c r="I131" cm="1">
        <f t="array" ref="I131">_xlfn.LET(
_xlpm.id,A131,
_xlpm.events,_xlfn._xlws.FILTER($G$2:$G$136,$A$2:$A$136=_xlpm.id),
ROWS(_xlfn.UNIQUE(_xlpm.events))
)</f>
        <v>1</v>
      </c>
      <c r="J131" s="4" t="str" cm="1">
        <f t="array" ref="J131">IF(G131="","",_xlfn.LET(
_xlpm.events,_xlfn.UNIQUE(_xlfn._xlws.FILTER($G$2:$G$136,$G$2:$G$136&lt;&gt;"")),
"E"&amp;TEXT(_xlfn.XMATCH(G131,_xlpm.events,0),"00")
))</f>
        <v>E16</v>
      </c>
    </row>
    <row r="132" spans="1:10" ht="28.8">
      <c r="A132" s="11" t="s">
        <v>53</v>
      </c>
      <c r="B132" s="5">
        <v>45796</v>
      </c>
      <c r="C132" s="5">
        <v>45821</v>
      </c>
      <c r="D132" s="4">
        <v>2</v>
      </c>
      <c r="E132" s="5">
        <v>45813</v>
      </c>
      <c r="F132" s="4">
        <v>341.34988403320313</v>
      </c>
      <c r="G132" s="4" t="s">
        <v>79</v>
      </c>
      <c r="H132" s="4" t="s">
        <v>63</v>
      </c>
      <c r="I132" cm="1">
        <f t="array" ref="I132">_xlfn.LET(
_xlpm.id,A132,
_xlpm.events,_xlfn._xlws.FILTER($G$2:$G$136,$A$2:$A$136=_xlpm.id),
ROWS(_xlfn.UNIQUE(_xlpm.events))
)</f>
        <v>1</v>
      </c>
      <c r="J132" s="4" t="str" cm="1">
        <f t="array" ref="J132">IF(G132="","",_xlfn.LET(
_xlpm.events,_xlfn.UNIQUE(_xlfn._xlws.FILTER($G$2:$G$136,$G$2:$G$136&lt;&gt;"")),
"E"&amp;TEXT(_xlfn.XMATCH(G132,_xlpm.events,0),"00")
))</f>
        <v>E16</v>
      </c>
    </row>
    <row r="133" spans="1:10" ht="28.8">
      <c r="A133" s="11" t="s">
        <v>53</v>
      </c>
      <c r="B133" s="5">
        <v>45796</v>
      </c>
      <c r="C133" s="5">
        <v>45821</v>
      </c>
      <c r="D133" s="4">
        <v>3</v>
      </c>
      <c r="E133" s="5">
        <v>45805</v>
      </c>
      <c r="F133" s="4">
        <v>279.44241333007813</v>
      </c>
      <c r="G133" s="4" t="s">
        <v>79</v>
      </c>
      <c r="H133" s="4" t="s">
        <v>63</v>
      </c>
      <c r="I133" cm="1">
        <f t="array" ref="I133">_xlfn.LET(
_xlpm.id,A133,
_xlpm.events,_xlfn._xlws.FILTER($G$2:$G$136,$A$2:$A$136=_xlpm.id),
ROWS(_xlfn.UNIQUE(_xlpm.events))
)</f>
        <v>1</v>
      </c>
      <c r="J133" s="4" t="str" cm="1">
        <f t="array" ref="J133">IF(G133="","",_xlfn.LET(
_xlpm.events,_xlfn.UNIQUE(_xlfn._xlws.FILTER($G$2:$G$136,$G$2:$G$136&lt;&gt;"")),
"E"&amp;TEXT(_xlfn.XMATCH(G133,_xlpm.events,0),"00")
))</f>
        <v>E16</v>
      </c>
    </row>
    <row r="134" spans="1:10" ht="86.4">
      <c r="A134" s="11" t="s">
        <v>54</v>
      </c>
      <c r="B134" s="5">
        <v>46099</v>
      </c>
      <c r="C134" s="5">
        <v>46111</v>
      </c>
      <c r="D134" s="4">
        <v>1</v>
      </c>
      <c r="E134" s="5">
        <v>46105</v>
      </c>
      <c r="F134" s="4">
        <v>459.083984375</v>
      </c>
      <c r="G134" s="4" t="s">
        <v>99</v>
      </c>
      <c r="H134" s="4" t="s">
        <v>65</v>
      </c>
      <c r="I134" cm="1">
        <f t="array" ref="I134">_xlfn.LET(
_xlpm.id,A134,
_xlpm.events,_xlfn._xlws.FILTER($G$2:$G$136,$A$2:$A$136=_xlpm.id),
ROWS(_xlfn.UNIQUE(_xlpm.events))
)</f>
        <v>1</v>
      </c>
      <c r="J134" s="4" t="str" cm="1">
        <f t="array" ref="J134">IF(G134="","",_xlfn.LET(
_xlpm.events,_xlfn.UNIQUE(_xlfn._xlws.FILTER($G$2:$G$136,$G$2:$G$136&lt;&gt;"")),
"E"&amp;TEXT(_xlfn.XMATCH(G134,_xlpm.events,0),"00")
))</f>
        <v>E36</v>
      </c>
    </row>
    <row r="135" spans="1:10" ht="86.4">
      <c r="A135" s="11" t="s">
        <v>54</v>
      </c>
      <c r="B135" s="5">
        <v>46099</v>
      </c>
      <c r="C135" s="5">
        <v>46111</v>
      </c>
      <c r="D135" s="4">
        <v>2</v>
      </c>
      <c r="E135" s="5">
        <v>46100</v>
      </c>
      <c r="F135" s="4">
        <v>359.69467163085938</v>
      </c>
      <c r="G135" s="4" t="s">
        <v>99</v>
      </c>
      <c r="H135" s="4" t="s">
        <v>65</v>
      </c>
      <c r="I135" cm="1">
        <f t="array" ref="I135">_xlfn.LET(
_xlpm.id,A135,
_xlpm.events,_xlfn._xlws.FILTER($G$2:$G$136,$A$2:$A$136=_xlpm.id),
ROWS(_xlfn.UNIQUE(_xlpm.events))
)</f>
        <v>1</v>
      </c>
      <c r="J135" s="4" t="str" cm="1">
        <f t="array" ref="J135">IF(G135="","",_xlfn.LET(
_xlpm.events,_xlfn.UNIQUE(_xlfn._xlws.FILTER($G$2:$G$136,$G$2:$G$136&lt;&gt;"")),
"E"&amp;TEXT(_xlfn.XMATCH(G135,_xlpm.events,0),"00")
))</f>
        <v>E36</v>
      </c>
    </row>
    <row r="136" spans="1:10" ht="86.4">
      <c r="A136" s="12" t="s">
        <v>54</v>
      </c>
      <c r="B136" s="7">
        <v>46099</v>
      </c>
      <c r="C136" s="7">
        <v>46111</v>
      </c>
      <c r="D136" s="6">
        <v>3</v>
      </c>
      <c r="E136" s="7">
        <v>46106</v>
      </c>
      <c r="F136" s="6">
        <v>351.24545288085938</v>
      </c>
      <c r="G136" s="6" t="s">
        <v>99</v>
      </c>
      <c r="H136" s="6" t="s">
        <v>65</v>
      </c>
      <c r="I136" cm="1">
        <f t="array" ref="I136">_xlfn.LET(
_xlpm.id,A136,
_xlpm.events,_xlfn._xlws.FILTER($G$2:$G$136,$A$2:$A$136=_xlpm.id),
ROWS(_xlfn.UNIQUE(_xlpm.events))
)</f>
        <v>1</v>
      </c>
      <c r="J136" s="4" t="str" cm="1">
        <f t="array" ref="J136">IF(G136="","",_xlfn.LET(
_xlpm.events,_xlfn.UNIQUE(_xlfn._xlws.FILTER($G$2:$G$136,$G$2:$G$136&lt;&gt;"")),
"E"&amp;TEXT(_xlfn.XMATCH(G136,_xlpm.events,0),"00")
))</f>
        <v>E36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89CB3-7461-4B8D-AF7A-53A79A2AF56F}">
  <dimension ref="A1:G37"/>
  <sheetViews>
    <sheetView workbookViewId="0">
      <selection activeCell="E2" sqref="E2"/>
    </sheetView>
  </sheetViews>
  <sheetFormatPr defaultRowHeight="14.4"/>
  <cols>
    <col min="1" max="1" width="45.109375" customWidth="1"/>
    <col min="2" max="2" width="11.77734375" customWidth="1"/>
    <col min="3" max="3" width="26" customWidth="1"/>
    <col min="4" max="4" width="13" customWidth="1"/>
    <col min="5" max="5" width="27.109375" customWidth="1"/>
    <col min="6" max="6" width="38.88671875" customWidth="1"/>
    <col min="7" max="7" width="32.21875" customWidth="1"/>
  </cols>
  <sheetData>
    <row r="1" spans="1:7" ht="41.4">
      <c r="A1" s="13" t="s">
        <v>103</v>
      </c>
      <c r="B1" s="13" t="s">
        <v>104</v>
      </c>
      <c r="C1" s="13" t="s">
        <v>105</v>
      </c>
      <c r="D1" s="13" t="s">
        <v>106</v>
      </c>
      <c r="E1" s="13" t="s">
        <v>107</v>
      </c>
      <c r="F1" s="13" t="s">
        <v>108</v>
      </c>
      <c r="G1" s="13" t="s">
        <v>109</v>
      </c>
    </row>
    <row r="2" spans="1:7" ht="133.19999999999999" customHeight="1">
      <c r="A2" s="14" t="s">
        <v>251</v>
      </c>
      <c r="B2" s="16">
        <v>42205</v>
      </c>
      <c r="C2" s="14" t="s">
        <v>130</v>
      </c>
      <c r="D2" s="16">
        <v>42212</v>
      </c>
      <c r="E2" s="14" t="s">
        <v>131</v>
      </c>
      <c r="F2" s="14" t="s">
        <v>132</v>
      </c>
      <c r="G2" s="15" t="s">
        <v>133</v>
      </c>
    </row>
    <row r="3" spans="1:7" ht="141" customHeight="1">
      <c r="A3" s="14" t="s">
        <v>252</v>
      </c>
      <c r="B3" s="16">
        <v>42321</v>
      </c>
      <c r="C3" s="14" t="s">
        <v>134</v>
      </c>
      <c r="D3" s="16">
        <v>42338</v>
      </c>
      <c r="E3" s="14" t="s">
        <v>135</v>
      </c>
      <c r="F3" s="14" t="s">
        <v>136</v>
      </c>
      <c r="G3" s="15" t="s">
        <v>137</v>
      </c>
    </row>
    <row r="4" spans="1:7" ht="112.2" customHeight="1">
      <c r="A4" s="14" t="s">
        <v>253</v>
      </c>
      <c r="B4" s="16">
        <v>42332</v>
      </c>
      <c r="C4" s="14" t="s">
        <v>138</v>
      </c>
      <c r="D4" s="16">
        <v>42334</v>
      </c>
      <c r="E4" s="14" t="s">
        <v>139</v>
      </c>
      <c r="F4" s="14" t="s">
        <v>140</v>
      </c>
      <c r="G4" s="15" t="s">
        <v>141</v>
      </c>
    </row>
    <row r="5" spans="1:7" ht="109.8" customHeight="1">
      <c r="A5" s="14" t="s">
        <v>254</v>
      </c>
      <c r="B5" s="16">
        <v>44337</v>
      </c>
      <c r="C5" s="14" t="s">
        <v>205</v>
      </c>
      <c r="D5" s="16">
        <v>44347</v>
      </c>
      <c r="E5" s="14" t="s">
        <v>206</v>
      </c>
      <c r="F5" s="14" t="s">
        <v>207</v>
      </c>
      <c r="G5" s="15" t="s">
        <v>208</v>
      </c>
    </row>
    <row r="6" spans="1:7" ht="140.4" customHeight="1">
      <c r="A6" s="14" t="s">
        <v>255</v>
      </c>
      <c r="B6" s="16">
        <v>45727</v>
      </c>
      <c r="C6" s="14" t="s">
        <v>227</v>
      </c>
      <c r="D6" s="16">
        <v>45733</v>
      </c>
      <c r="E6" s="14" t="s">
        <v>228</v>
      </c>
      <c r="F6" s="14" t="s">
        <v>229</v>
      </c>
      <c r="G6" s="15" t="s">
        <v>230</v>
      </c>
    </row>
    <row r="7" spans="1:7" ht="69">
      <c r="A7" s="14" t="s">
        <v>256</v>
      </c>
      <c r="B7" s="16">
        <v>45719</v>
      </c>
      <c r="C7" s="14" t="s">
        <v>223</v>
      </c>
      <c r="D7" s="16">
        <v>45721</v>
      </c>
      <c r="E7" s="14" t="s">
        <v>224</v>
      </c>
      <c r="F7" s="14" t="s">
        <v>225</v>
      </c>
      <c r="G7" s="15" t="s">
        <v>226</v>
      </c>
    </row>
    <row r="8" spans="1:7" ht="82.8">
      <c r="A8" s="14" t="s">
        <v>257</v>
      </c>
      <c r="B8" s="16">
        <v>46081</v>
      </c>
      <c r="C8" s="14" t="s">
        <v>239</v>
      </c>
      <c r="D8" s="16">
        <v>46092</v>
      </c>
      <c r="E8" s="14" t="s">
        <v>240</v>
      </c>
      <c r="F8" s="14" t="s">
        <v>241</v>
      </c>
      <c r="G8" s="15" t="s">
        <v>242</v>
      </c>
    </row>
    <row r="9" spans="1:7" ht="55.2">
      <c r="A9" s="14" t="s">
        <v>258</v>
      </c>
      <c r="B9" s="16">
        <v>42893</v>
      </c>
      <c r="C9" s="14" t="s">
        <v>170</v>
      </c>
      <c r="D9" s="16">
        <v>42894</v>
      </c>
      <c r="E9" s="14" t="s">
        <v>159</v>
      </c>
      <c r="F9" s="14" t="s">
        <v>171</v>
      </c>
      <c r="G9" s="15" t="s">
        <v>172</v>
      </c>
    </row>
    <row r="10" spans="1:7" ht="69">
      <c r="A10" s="14" t="s">
        <v>259</v>
      </c>
      <c r="B10" s="16">
        <v>42891</v>
      </c>
      <c r="C10" s="14" t="s">
        <v>166</v>
      </c>
      <c r="D10" s="16">
        <v>42915</v>
      </c>
      <c r="E10" s="14" t="s">
        <v>167</v>
      </c>
      <c r="F10" s="14" t="s">
        <v>168</v>
      </c>
      <c r="G10" s="15" t="s">
        <v>169</v>
      </c>
    </row>
    <row r="11" spans="1:7" ht="55.2">
      <c r="A11" s="14" t="s">
        <v>260</v>
      </c>
      <c r="B11" s="16">
        <v>43722</v>
      </c>
      <c r="C11" s="14" t="s">
        <v>181</v>
      </c>
      <c r="D11" s="16">
        <v>43746</v>
      </c>
      <c r="E11" s="14" t="s">
        <v>182</v>
      </c>
      <c r="F11" s="14" t="s">
        <v>183</v>
      </c>
      <c r="G11" s="15" t="s">
        <v>184</v>
      </c>
    </row>
    <row r="12" spans="1:7" ht="55.2">
      <c r="A12" s="14" t="s">
        <v>261</v>
      </c>
      <c r="B12" s="16">
        <v>43747</v>
      </c>
      <c r="C12" s="14" t="s">
        <v>185</v>
      </c>
      <c r="D12" s="16">
        <v>43755</v>
      </c>
      <c r="E12" s="14" t="s">
        <v>186</v>
      </c>
      <c r="F12" s="14" t="s">
        <v>187</v>
      </c>
      <c r="G12" s="15" t="s">
        <v>188</v>
      </c>
    </row>
    <row r="13" spans="1:7" ht="57.6">
      <c r="A13" s="14" t="s">
        <v>262</v>
      </c>
      <c r="B13" s="16">
        <v>45068</v>
      </c>
      <c r="C13" s="14" t="s">
        <v>216</v>
      </c>
      <c r="D13" s="16">
        <v>45070</v>
      </c>
      <c r="E13" s="14" t="s">
        <v>159</v>
      </c>
      <c r="F13" s="14" t="s">
        <v>217</v>
      </c>
      <c r="G13" s="15" t="s">
        <v>218</v>
      </c>
    </row>
    <row r="14" spans="1:7" ht="69">
      <c r="A14" s="14" t="s">
        <v>263</v>
      </c>
      <c r="B14" s="16">
        <v>44325</v>
      </c>
      <c r="C14" s="14" t="s">
        <v>197</v>
      </c>
      <c r="D14" s="16">
        <v>44326</v>
      </c>
      <c r="E14" s="14" t="s">
        <v>198</v>
      </c>
      <c r="F14" s="14" t="s">
        <v>199</v>
      </c>
      <c r="G14" s="15" t="s">
        <v>200</v>
      </c>
    </row>
    <row r="15" spans="1:7" ht="55.2">
      <c r="A15" s="14" t="s">
        <v>264</v>
      </c>
      <c r="B15" s="16">
        <v>44326</v>
      </c>
      <c r="C15" s="14" t="s">
        <v>201</v>
      </c>
      <c r="D15" s="16">
        <v>44337</v>
      </c>
      <c r="E15" s="14" t="s">
        <v>202</v>
      </c>
      <c r="F15" s="14" t="s">
        <v>203</v>
      </c>
      <c r="G15" s="15" t="s">
        <v>204</v>
      </c>
    </row>
    <row r="16" spans="1:7" ht="55.2">
      <c r="A16" s="14" t="s">
        <v>265</v>
      </c>
      <c r="B16" s="16">
        <v>45206</v>
      </c>
      <c r="C16" s="14" t="s">
        <v>219</v>
      </c>
      <c r="D16" s="16">
        <v>45251</v>
      </c>
      <c r="E16" s="14" t="s">
        <v>220</v>
      </c>
      <c r="F16" s="14" t="s">
        <v>221</v>
      </c>
      <c r="G16" s="15" t="s">
        <v>222</v>
      </c>
    </row>
    <row r="17" spans="1:7" ht="69">
      <c r="A17" s="14" t="s">
        <v>266</v>
      </c>
      <c r="B17" s="16">
        <v>45813</v>
      </c>
      <c r="C17" s="14" t="s">
        <v>231</v>
      </c>
      <c r="D17" s="16">
        <v>45818</v>
      </c>
      <c r="E17" s="14" t="s">
        <v>232</v>
      </c>
      <c r="F17" s="14" t="s">
        <v>233</v>
      </c>
      <c r="G17" s="15" t="s">
        <v>234</v>
      </c>
    </row>
    <row r="18" spans="1:7" ht="69">
      <c r="A18" s="14" t="s">
        <v>267</v>
      </c>
      <c r="B18" s="16">
        <v>46099</v>
      </c>
      <c r="C18" s="14" t="s">
        <v>247</v>
      </c>
      <c r="D18" s="16">
        <v>46112</v>
      </c>
      <c r="E18" s="14" t="s">
        <v>248</v>
      </c>
      <c r="F18" s="14" t="s">
        <v>249</v>
      </c>
      <c r="G18" s="15" t="s">
        <v>250</v>
      </c>
    </row>
    <row r="19" spans="1:7" ht="82.8">
      <c r="A19" s="14" t="s">
        <v>268</v>
      </c>
      <c r="B19" s="16">
        <v>43838</v>
      </c>
      <c r="C19" s="14" t="s">
        <v>193</v>
      </c>
      <c r="D19" s="16">
        <v>43840</v>
      </c>
      <c r="E19" s="14" t="s">
        <v>194</v>
      </c>
      <c r="F19" s="14" t="s">
        <v>195</v>
      </c>
      <c r="G19" s="15" t="s">
        <v>196</v>
      </c>
    </row>
    <row r="20" spans="1:7" ht="69">
      <c r="A20" s="14" t="s">
        <v>269</v>
      </c>
      <c r="B20" s="16">
        <v>43833</v>
      </c>
      <c r="C20" s="14" t="s">
        <v>189</v>
      </c>
      <c r="D20" s="16">
        <v>43839</v>
      </c>
      <c r="E20" s="14" t="s">
        <v>190</v>
      </c>
      <c r="F20" s="14" t="s">
        <v>191</v>
      </c>
      <c r="G20" s="15" t="s">
        <v>192</v>
      </c>
    </row>
    <row r="21" spans="1:7" ht="55.2">
      <c r="A21" s="14" t="s">
        <v>270</v>
      </c>
      <c r="B21" s="16">
        <v>45821</v>
      </c>
      <c r="C21" s="14" t="s">
        <v>235</v>
      </c>
      <c r="D21" s="16">
        <v>45832</v>
      </c>
      <c r="E21" s="14" t="s">
        <v>236</v>
      </c>
      <c r="F21" s="14" t="s">
        <v>237</v>
      </c>
      <c r="G21" s="15" t="s">
        <v>238</v>
      </c>
    </row>
    <row r="22" spans="1:7" ht="82.8">
      <c r="A22" s="14" t="s">
        <v>271</v>
      </c>
      <c r="B22" s="16">
        <v>42705</v>
      </c>
      <c r="C22" s="14" t="s">
        <v>154</v>
      </c>
      <c r="D22" s="16">
        <v>42723</v>
      </c>
      <c r="E22" s="14" t="s">
        <v>155</v>
      </c>
      <c r="F22" s="14" t="s">
        <v>156</v>
      </c>
      <c r="G22" s="15" t="s">
        <v>157</v>
      </c>
    </row>
    <row r="23" spans="1:7" ht="69">
      <c r="A23" s="14" t="s">
        <v>272</v>
      </c>
      <c r="B23" s="16">
        <v>42024</v>
      </c>
      <c r="C23" s="14" t="s">
        <v>126</v>
      </c>
      <c r="D23" s="16">
        <v>42053</v>
      </c>
      <c r="E23" s="14" t="s">
        <v>127</v>
      </c>
      <c r="F23" s="14" t="s">
        <v>128</v>
      </c>
      <c r="G23" s="15" t="s">
        <v>129</v>
      </c>
    </row>
    <row r="24" spans="1:7" ht="69">
      <c r="A24" s="14" t="s">
        <v>273</v>
      </c>
      <c r="B24" s="16">
        <v>42209</v>
      </c>
      <c r="C24" s="14" t="s">
        <v>146</v>
      </c>
      <c r="D24" s="16">
        <v>42214</v>
      </c>
      <c r="E24" s="14" t="s">
        <v>147</v>
      </c>
      <c r="F24" s="14" t="s">
        <v>148</v>
      </c>
      <c r="G24" s="15" t="s">
        <v>149</v>
      </c>
    </row>
    <row r="25" spans="1:7" ht="82.8">
      <c r="A25" s="14" t="s">
        <v>274</v>
      </c>
      <c r="B25" s="16">
        <v>42341</v>
      </c>
      <c r="C25" s="14" t="s">
        <v>142</v>
      </c>
      <c r="D25" s="16">
        <v>42347</v>
      </c>
      <c r="E25" s="14" t="s">
        <v>143</v>
      </c>
      <c r="F25" s="14" t="s">
        <v>144</v>
      </c>
      <c r="G25" s="15" t="s">
        <v>145</v>
      </c>
    </row>
    <row r="26" spans="1:7" ht="69">
      <c r="A26" s="14" t="s">
        <v>275</v>
      </c>
      <c r="B26" s="16">
        <v>42748</v>
      </c>
      <c r="C26" s="14" t="s">
        <v>158</v>
      </c>
      <c r="D26" s="16">
        <v>42749</v>
      </c>
      <c r="E26" s="14" t="s">
        <v>159</v>
      </c>
      <c r="F26" s="14" t="s">
        <v>160</v>
      </c>
      <c r="G26" s="15" t="s">
        <v>161</v>
      </c>
    </row>
    <row r="27" spans="1:7" ht="69">
      <c r="A27" s="14" t="s">
        <v>276</v>
      </c>
      <c r="B27" s="16">
        <v>42751</v>
      </c>
      <c r="C27" s="14" t="s">
        <v>162</v>
      </c>
      <c r="D27" s="16">
        <v>42752</v>
      </c>
      <c r="E27" s="14" t="s">
        <v>163</v>
      </c>
      <c r="F27" s="14" t="s">
        <v>164</v>
      </c>
      <c r="G27" s="15" t="s">
        <v>165</v>
      </c>
    </row>
    <row r="28" spans="1:7" ht="82.8">
      <c r="A28" s="14" t="s">
        <v>277</v>
      </c>
      <c r="B28" s="16">
        <v>43510</v>
      </c>
      <c r="C28" s="14" t="s">
        <v>177</v>
      </c>
      <c r="D28" s="16">
        <v>43539</v>
      </c>
      <c r="E28" s="14" t="s">
        <v>178</v>
      </c>
      <c r="F28" s="14" t="s">
        <v>179</v>
      </c>
      <c r="G28" s="15" t="s">
        <v>180</v>
      </c>
    </row>
    <row r="29" spans="1:7" ht="82.8">
      <c r="A29" s="14" t="s">
        <v>278</v>
      </c>
      <c r="B29" s="16">
        <v>42375</v>
      </c>
      <c r="C29" s="14" t="s">
        <v>150</v>
      </c>
      <c r="D29" s="16">
        <v>42376</v>
      </c>
      <c r="E29" s="14" t="s">
        <v>151</v>
      </c>
      <c r="F29" s="14" t="s">
        <v>152</v>
      </c>
      <c r="G29" s="15" t="s">
        <v>153</v>
      </c>
    </row>
    <row r="30" spans="1:7" ht="69">
      <c r="A30" s="14" t="s">
        <v>279</v>
      </c>
      <c r="B30" s="16">
        <v>44616</v>
      </c>
      <c r="C30" s="14" t="s">
        <v>209</v>
      </c>
      <c r="D30" s="16">
        <v>44636</v>
      </c>
      <c r="E30" s="14" t="s">
        <v>210</v>
      </c>
      <c r="F30" s="14" t="s">
        <v>211</v>
      </c>
      <c r="G30" s="15" t="s">
        <v>212</v>
      </c>
    </row>
    <row r="31" spans="1:7" ht="69">
      <c r="A31" s="14" t="s">
        <v>280</v>
      </c>
      <c r="B31" s="16">
        <v>41705</v>
      </c>
      <c r="C31" s="14" t="s">
        <v>110</v>
      </c>
      <c r="D31" s="16">
        <v>41723</v>
      </c>
      <c r="E31" s="14" t="s">
        <v>111</v>
      </c>
      <c r="F31" s="14" t="s">
        <v>112</v>
      </c>
      <c r="G31" s="15" t="s">
        <v>113</v>
      </c>
    </row>
    <row r="32" spans="1:7" ht="55.2">
      <c r="A32" s="14" t="s">
        <v>281</v>
      </c>
      <c r="B32" s="16">
        <v>41870</v>
      </c>
      <c r="C32" s="14" t="s">
        <v>118</v>
      </c>
      <c r="D32" s="16">
        <v>41872</v>
      </c>
      <c r="E32" s="14" t="s">
        <v>119</v>
      </c>
      <c r="F32" s="14" t="s">
        <v>120</v>
      </c>
      <c r="G32" s="15" t="s">
        <v>121</v>
      </c>
    </row>
    <row r="33" spans="1:7" ht="55.2">
      <c r="A33" s="14" t="s">
        <v>282</v>
      </c>
      <c r="B33" s="16">
        <v>41870</v>
      </c>
      <c r="C33" s="14" t="s">
        <v>122</v>
      </c>
      <c r="D33" s="16">
        <v>41877</v>
      </c>
      <c r="E33" s="14" t="s">
        <v>123</v>
      </c>
      <c r="F33" s="14" t="s">
        <v>124</v>
      </c>
      <c r="G33" s="15" t="s">
        <v>125</v>
      </c>
    </row>
    <row r="34" spans="1:7" ht="69">
      <c r="A34" s="14" t="s">
        <v>283</v>
      </c>
      <c r="B34" s="16">
        <v>41872</v>
      </c>
      <c r="C34" s="14" t="s">
        <v>114</v>
      </c>
      <c r="D34" s="16">
        <v>41874</v>
      </c>
      <c r="E34" s="14" t="s">
        <v>115</v>
      </c>
      <c r="F34" s="14" t="s">
        <v>116</v>
      </c>
      <c r="G34" s="15" t="s">
        <v>117</v>
      </c>
    </row>
    <row r="35" spans="1:7" ht="69">
      <c r="A35" s="14" t="s">
        <v>284</v>
      </c>
      <c r="B35" s="16">
        <v>42920</v>
      </c>
      <c r="C35" s="14" t="s">
        <v>173</v>
      </c>
      <c r="D35" s="16">
        <v>42944</v>
      </c>
      <c r="E35" s="14" t="s">
        <v>174</v>
      </c>
      <c r="F35" s="14" t="s">
        <v>175</v>
      </c>
      <c r="G35" s="15" t="s">
        <v>176</v>
      </c>
    </row>
    <row r="36" spans="1:7" ht="43.2">
      <c r="A36" s="14" t="s">
        <v>285</v>
      </c>
      <c r="B36" s="16">
        <v>44756</v>
      </c>
      <c r="C36" s="14" t="s">
        <v>213</v>
      </c>
      <c r="D36" s="16">
        <v>44759</v>
      </c>
      <c r="E36" s="14" t="s">
        <v>159</v>
      </c>
      <c r="F36" s="14" t="s">
        <v>214</v>
      </c>
      <c r="G36" s="15" t="s">
        <v>215</v>
      </c>
    </row>
    <row r="37" spans="1:7" ht="82.8">
      <c r="A37" s="14" t="s">
        <v>286</v>
      </c>
      <c r="B37" s="16">
        <v>46098</v>
      </c>
      <c r="C37" s="14" t="s">
        <v>243</v>
      </c>
      <c r="D37" s="16">
        <v>46105</v>
      </c>
      <c r="E37" s="14" t="s">
        <v>244</v>
      </c>
      <c r="F37" s="14" t="s">
        <v>245</v>
      </c>
      <c r="G37" s="15" t="s">
        <v>246</v>
      </c>
    </row>
  </sheetData>
  <hyperlinks>
    <hyperlink ref="G2" r:id="rId1" xr:uid="{DFDEC84F-ACC1-4530-82B2-EAA1F0C4262D}"/>
    <hyperlink ref="G3" r:id="rId2" xr:uid="{B37BC97E-D68D-42B7-82E6-02A90755B6E7}"/>
    <hyperlink ref="G4" r:id="rId3" xr:uid="{F88E5F71-D201-4F6F-A1EB-64B9CC5EDC94}"/>
    <hyperlink ref="G5" r:id="rId4" xr:uid="{F96F9AB2-72CE-4EF6-A70D-D788B9D907CF}"/>
    <hyperlink ref="G6" r:id="rId5" xr:uid="{338EC5C8-E0D4-470D-A1E1-AF29A3C3EF8C}"/>
    <hyperlink ref="G7" r:id="rId6" xr:uid="{CF0B00BC-61B4-418E-B154-07309CCB9C59}"/>
    <hyperlink ref="G8" r:id="rId7" xr:uid="{1146C91A-F745-47F9-B3D7-2B2EB305A106}"/>
    <hyperlink ref="G9" r:id="rId8" xr:uid="{174DF019-8B0F-4534-9B90-36DBBAA0BD35}"/>
    <hyperlink ref="G10" r:id="rId9" xr:uid="{6FE37AAD-B999-41CA-8EA1-6B9C26FBA65A}"/>
    <hyperlink ref="G11" r:id="rId10" xr:uid="{1E217110-00A2-4979-8554-AFCDC424B568}"/>
    <hyperlink ref="G12" r:id="rId11" xr:uid="{0842BDD1-4F9F-4A0E-AF7E-C162B610ABA6}"/>
    <hyperlink ref="G13" r:id="rId12" xr:uid="{51B1DA24-A796-4AC6-925D-CB69B484C81D}"/>
    <hyperlink ref="G14" r:id="rId13" xr:uid="{B7A6B372-1FA5-4168-9D1A-4F3F23D7EB23}"/>
    <hyperlink ref="G15" r:id="rId14" xr:uid="{F7FA0B39-D2A1-42A1-874E-10FBF0E7E2C6}"/>
    <hyperlink ref="G16" r:id="rId15" xr:uid="{B69D4778-520A-4EEF-ACC4-1EBFA1C3EA73}"/>
    <hyperlink ref="G17" r:id="rId16" xr:uid="{692095A3-F2F3-4890-BFE1-8D3D12C0C98F}"/>
    <hyperlink ref="G18" r:id="rId17" xr:uid="{5B702FA7-61B9-485D-AF5A-88B73E421FBD}"/>
    <hyperlink ref="G19" r:id="rId18" xr:uid="{6A56CD77-8149-4F6D-B777-8C3A4F60A30D}"/>
    <hyperlink ref="G20" r:id="rId19" xr:uid="{2B828B95-9A38-4EFB-8A8F-E7A37C6DF18D}"/>
    <hyperlink ref="G21" r:id="rId20" xr:uid="{3FCD9E90-C622-40D8-B4AD-CB58EC31D6CB}"/>
    <hyperlink ref="G22" r:id="rId21" xr:uid="{69E58D8F-F1FB-474B-B0AD-33AE7A058F31}"/>
    <hyperlink ref="G23" r:id="rId22" xr:uid="{27B4F81E-B39E-49DF-A5F0-0ED074EBCB3D}"/>
    <hyperlink ref="G24" r:id="rId23" xr:uid="{A66C0B46-4104-4E3F-80C1-8E8993853A81}"/>
    <hyperlink ref="G25" r:id="rId24" xr:uid="{05F05E8A-93DF-472D-AD7C-F5055933EEA4}"/>
    <hyperlink ref="G26" r:id="rId25" xr:uid="{7C103A54-B068-44F7-AE40-C8C3B8F352E3}"/>
    <hyperlink ref="G27" r:id="rId26" xr:uid="{FD7FC8FE-6CF0-46B5-ACF7-1C47876BA30C}"/>
    <hyperlink ref="G28" r:id="rId27" xr:uid="{79FF49CB-F4D6-4E43-A80A-6B22768FFB3E}"/>
    <hyperlink ref="G29" r:id="rId28" xr:uid="{51B6E7F4-14EF-4A0B-9F92-C998C6F838BB}"/>
    <hyperlink ref="G30" r:id="rId29" xr:uid="{30F93DF6-CD22-4883-B8AC-6725B53A3741}"/>
    <hyperlink ref="G31" r:id="rId30" xr:uid="{4F2D67B1-1DCE-4B2F-A166-22B968C5F959}"/>
    <hyperlink ref="G32" r:id="rId31" xr:uid="{FA3AAE97-8E8D-46F1-B9CE-365FCCA23FCF}"/>
    <hyperlink ref="G33" r:id="rId32" xr:uid="{613F3BE5-1881-422C-9404-247B67824418}"/>
    <hyperlink ref="G34" r:id="rId33" xr:uid="{236F5CAC-11EB-4D6D-9E56-0F4D8414D1A0}"/>
    <hyperlink ref="G35" r:id="rId34" xr:uid="{B695BE20-4593-4389-9ED6-60354B2FB8FC}"/>
    <hyperlink ref="G36" r:id="rId35" xr:uid="{222424AC-F8B8-4966-9769-722A6B463A32}"/>
    <hyperlink ref="G37" r:id="rId36" xr:uid="{6F9F6612-C564-4138-829F-CAFFC30E2BE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45 events</vt:lpstr>
      <vt:lpstr>135 Raw Peak Audit</vt:lpstr>
      <vt:lpstr>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Cresswell</dc:creator>
  <cp:lastModifiedBy>Chris Cresswell</cp:lastModifiedBy>
  <dcterms:created xsi:type="dcterms:W3CDTF">2026-10-08T08:40:29Z</dcterms:created>
  <dcterms:modified xsi:type="dcterms:W3CDTF">2026-10-08T10:47:48Z</dcterms:modified>
</cp:coreProperties>
</file>