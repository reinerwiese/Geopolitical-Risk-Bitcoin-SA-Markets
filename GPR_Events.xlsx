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c17c87fde5f3bec7/Documents/GitHub/Geopolitical-Risk-Bitcoin-SA-Markets/"/>
    </mc:Choice>
  </mc:AlternateContent>
  <xr:revisionPtr revIDLastSave="15" documentId="8_{383874F8-BE85-4085-9713-C70562148CD3}" xr6:coauthVersionLast="47" xr6:coauthVersionMax="47" xr10:uidLastSave="{63E77620-38E4-4E9C-AFEF-585185A54FDA}"/>
  <bookViews>
    <workbookView xWindow="-108" yWindow="-108" windowWidth="23256" windowHeight="12456" activeTab="2" xr2:uid="{00000000-000D-0000-FFFF-FFFF00000000}"/>
  </bookViews>
  <sheets>
    <sheet name="45 events" sheetId="1" r:id="rId1"/>
    <sheet name="135 Raw Peak Audit" sheetId="2" r:id="rId2"/>
    <sheet name="Sources" sheetId="3" r:id="rId3"/>
  </sheet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2" l="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2" i="1" a="1"/>
  <c r="M2" i="1" s="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2" i="1" a="1"/>
  <c r="K2" i="1" s="1"/>
  <c r="I3" i="2" s="1"/>
  <c r="I4" i="2"/>
  <c r="I5" i="2" s="1"/>
  <c r="I6" i="2"/>
  <c r="I7" i="2" s="1"/>
  <c r="I8" i="2"/>
  <c r="I9" i="2" s="1"/>
  <c r="I10" i="2"/>
  <c r="I11" i="2" s="1"/>
  <c r="I12" i="2"/>
  <c r="I13" i="2" s="1"/>
  <c r="I14" i="2"/>
  <c r="I15" i="2" s="1"/>
  <c r="I16" i="2"/>
  <c r="I17" i="2" s="1"/>
  <c r="I18" i="2"/>
  <c r="I19" i="2" s="1"/>
  <c r="I20" i="2"/>
  <c r="I21" i="2" s="1"/>
  <c r="I23" i="2"/>
  <c r="I24" i="2"/>
  <c r="I25" i="2" s="1"/>
  <c r="I26" i="2"/>
  <c r="I27" i="2" s="1"/>
  <c r="I28" i="2"/>
  <c r="I29" i="2" s="1"/>
  <c r="I30" i="2"/>
  <c r="I31" i="2" s="1"/>
  <c r="I32" i="2"/>
  <c r="I33" i="2" s="1"/>
  <c r="I34" i="2"/>
  <c r="I35" i="2" s="1"/>
  <c r="I36" i="2"/>
  <c r="I37" i="2" s="1"/>
  <c r="I38" i="2"/>
  <c r="I39" i="2" s="1"/>
  <c r="I40" i="2"/>
  <c r="I41" i="2" s="1"/>
  <c r="I42" i="2"/>
  <c r="I43" i="2" s="1"/>
  <c r="I44" i="2"/>
  <c r="I45" i="2" s="1"/>
  <c r="I46" i="2"/>
  <c r="I47" i="2" s="1"/>
  <c r="I48" i="2"/>
  <c r="I49" i="2" s="1"/>
  <c r="I50" i="2"/>
  <c r="I51" i="2" s="1"/>
  <c r="I52" i="2"/>
  <c r="I53" i="2" s="1"/>
  <c r="I54" i="2"/>
  <c r="I55" i="2" s="1"/>
  <c r="I56" i="2"/>
  <c r="I57" i="2" s="1"/>
  <c r="I58" i="2"/>
  <c r="I59" i="2" s="1"/>
  <c r="I60" i="2"/>
  <c r="I61" i="2" s="1"/>
  <c r="I62" i="2"/>
  <c r="I63" i="2" s="1"/>
  <c r="I64" i="2"/>
  <c r="I65" i="2" s="1"/>
  <c r="I66" i="2"/>
  <c r="I67" i="2" s="1"/>
  <c r="I68" i="2"/>
  <c r="I69" i="2" s="1"/>
  <c r="I70" i="2"/>
  <c r="I71" i="2" s="1"/>
  <c r="I72" i="2"/>
  <c r="I73" i="2" s="1"/>
  <c r="I74" i="2"/>
  <c r="I75" i="2" s="1"/>
  <c r="I76" i="2"/>
  <c r="I77" i="2" s="1"/>
  <c r="I78" i="2"/>
  <c r="I79" i="2" s="1"/>
  <c r="I80" i="2" s="1"/>
  <c r="I81" i="2" s="1"/>
  <c r="I82" i="2"/>
  <c r="I83" i="2" s="1"/>
  <c r="I84" i="2" s="1"/>
  <c r="I85" i="2" s="1"/>
  <c r="I86" i="2"/>
  <c r="I87" i="2" s="1"/>
  <c r="I88" i="2" s="1"/>
  <c r="I89" i="2" s="1"/>
  <c r="I90" i="2"/>
  <c r="I91" i="2" s="1"/>
  <c r="I92" i="2" s="1"/>
  <c r="I93" i="2" s="1"/>
  <c r="I94" i="2"/>
  <c r="I95" i="2" s="1"/>
  <c r="I96" i="2" s="1"/>
  <c r="I97" i="2" s="1"/>
  <c r="I98" i="2"/>
  <c r="I99" i="2" s="1"/>
  <c r="I100" i="2" s="1"/>
  <c r="I101" i="2" s="1"/>
  <c r="I102" i="2"/>
  <c r="I103" i="2" s="1"/>
  <c r="I104" i="2" s="1"/>
  <c r="I105" i="2" s="1"/>
  <c r="I106" i="2"/>
  <c r="I107" i="2" s="1"/>
  <c r="I108" i="2" s="1"/>
  <c r="I109" i="2" s="1"/>
  <c r="I110" i="2"/>
  <c r="I111" i="2" s="1"/>
  <c r="I112" i="2" s="1"/>
  <c r="I113" i="2" s="1"/>
  <c r="I114" i="2"/>
  <c r="I115" i="2" s="1"/>
  <c r="I116" i="2" s="1"/>
  <c r="I117" i="2" s="1"/>
  <c r="I118" i="2"/>
  <c r="I119" i="2" s="1"/>
  <c r="I120" i="2" s="1"/>
  <c r="I121" i="2" s="1"/>
  <c r="I122" i="2"/>
  <c r="I123" i="2" s="1"/>
  <c r="I124" i="2" s="1"/>
  <c r="I125" i="2" s="1"/>
  <c r="I126" i="2"/>
  <c r="I127" i="2" s="1"/>
  <c r="I128" i="2" s="1"/>
  <c r="I129" i="2" s="1"/>
  <c r="I130" i="2"/>
  <c r="I131" i="2" s="1"/>
  <c r="I132" i="2" s="1"/>
  <c r="I133" i="2" s="1"/>
  <c r="I134" i="2" s="1"/>
  <c r="I135" i="2" s="1"/>
  <c r="I136" i="2" s="1"/>
  <c r="I2" i="2" s="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N2" i="2"/>
  <c r="K2" i="2"/>
  <c r="L11" i="1" l="1" a="1"/>
  <c r="L11" i="1" s="1"/>
  <c r="L42" i="1" a="1"/>
  <c r="L42" i="1" s="1"/>
  <c r="L37" i="1" a="1"/>
  <c r="L37" i="1" s="1"/>
  <c r="L31" i="1" a="1"/>
  <c r="L31" i="1" s="1"/>
  <c r="L26" i="1" a="1"/>
  <c r="L26" i="1" s="1"/>
  <c r="L21" i="1" a="1"/>
  <c r="L21" i="1" s="1"/>
  <c r="L15" i="1" a="1"/>
  <c r="L15" i="1" s="1"/>
  <c r="L6" i="1" a="1"/>
  <c r="L6" i="1" s="1"/>
  <c r="L36" i="1" a="1"/>
  <c r="L36" i="1" s="1"/>
  <c r="L20" i="1" a="1"/>
  <c r="L20" i="1" s="1"/>
  <c r="L10" i="1" a="1"/>
  <c r="L10" i="1" s="1"/>
  <c r="L41" i="1" a="1"/>
  <c r="L41" i="1" s="1"/>
  <c r="L35" i="1" a="1"/>
  <c r="L35" i="1" s="1"/>
  <c r="L30" i="1" a="1"/>
  <c r="L30" i="1" s="1"/>
  <c r="L25" i="1" a="1"/>
  <c r="L25" i="1" s="1"/>
  <c r="L19" i="1" a="1"/>
  <c r="L19" i="1" s="1"/>
  <c r="L14" i="1" a="1"/>
  <c r="L14" i="1" s="1"/>
  <c r="L5" i="1" a="1"/>
  <c r="L5" i="1" s="1"/>
  <c r="L2" i="1" a="1"/>
  <c r="L2" i="1" s="1"/>
  <c r="L40" i="1" a="1"/>
  <c r="L40" i="1" s="1"/>
  <c r="L24" i="1" a="1"/>
  <c r="L24" i="1" s="1"/>
  <c r="L9" i="1" a="1"/>
  <c r="L9" i="1" s="1"/>
  <c r="L46" i="1" a="1"/>
  <c r="L46" i="1" s="1"/>
  <c r="L39" i="1" a="1"/>
  <c r="L39" i="1" s="1"/>
  <c r="L34" i="1" a="1"/>
  <c r="L34" i="1" s="1"/>
  <c r="L29" i="1" a="1"/>
  <c r="L29" i="1" s="1"/>
  <c r="L23" i="1" a="1"/>
  <c r="L23" i="1" s="1"/>
  <c r="L18" i="1" a="1"/>
  <c r="L18" i="1" s="1"/>
  <c r="L13" i="1" a="1"/>
  <c r="L13" i="1" s="1"/>
  <c r="L4" i="1" a="1"/>
  <c r="L4" i="1" s="1"/>
  <c r="L45" i="1" a="1"/>
  <c r="L45" i="1" s="1"/>
  <c r="L28" i="1" a="1"/>
  <c r="L28" i="1" s="1"/>
  <c r="L8" i="1" a="1"/>
  <c r="L8" i="1" s="1"/>
  <c r="L3" i="1" a="1"/>
  <c r="L3" i="1" s="1"/>
  <c r="L44" i="1" a="1"/>
  <c r="L44" i="1" s="1"/>
  <c r="L38" i="1" a="1"/>
  <c r="L38" i="1" s="1"/>
  <c r="L33" i="1" a="1"/>
  <c r="L33" i="1" s="1"/>
  <c r="L27" i="1" a="1"/>
  <c r="L27" i="1" s="1"/>
  <c r="L22" i="1" a="1"/>
  <c r="L22" i="1" s="1"/>
  <c r="L17" i="1" a="1"/>
  <c r="L17" i="1" s="1"/>
  <c r="L12" i="1" a="1"/>
  <c r="L12" i="1" s="1"/>
  <c r="L7" i="1" a="1"/>
  <c r="L7" i="1" s="1"/>
  <c r="L43" i="1" a="1"/>
  <c r="L43" i="1" s="1"/>
  <c r="L32" i="1" a="1"/>
  <c r="L32" i="1" s="1"/>
  <c r="L16" i="1" a="1"/>
  <c r="L1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<sst xmlns="http://schemas.openxmlformats.org/spreadsheetml/2006/main" count="630" uniqueCount="309">
  <si>
    <t>Event_ID</t>
  </si>
  <si>
    <t>Smoothed_Peak_Date</t>
  </si>
  <si>
    <t>Start_Date</t>
  </si>
  <si>
    <t>End_Date</t>
  </si>
  <si>
    <t>Top_Raw_Date_1</t>
  </si>
  <si>
    <t>Top_Raw_GPR_1</t>
  </si>
  <si>
    <t>Top_Raw_Date_2</t>
  </si>
  <si>
    <t>Top_Raw_GPR_2</t>
  </si>
  <si>
    <t>Top_Raw_Date_3</t>
  </si>
  <si>
    <t>Top_Raw_GPR_3</t>
  </si>
  <si>
    <t>Uniqueness</t>
  </si>
  <si>
    <t>Source_IDs</t>
  </si>
  <si>
    <t>event names</t>
  </si>
  <si>
    <t>GPRD_11_1</t>
  </si>
  <si>
    <t>GPRD_11_2</t>
  </si>
  <si>
    <t>GPRD_11_3</t>
  </si>
  <si>
    <t>E05</t>
  </si>
  <si>
    <t>Israel–Gaza ceasefire and post-conflict reconstruction commitments</t>
  </si>
  <si>
    <t>GPRD_11_4</t>
  </si>
  <si>
    <t>E06</t>
  </si>
  <si>
    <t>Ukraine ceasefire diplomacy and Putin's response/conditions</t>
  </si>
  <si>
    <t>GPRD_11_5</t>
  </si>
  <si>
    <t>E07</t>
  </si>
  <si>
    <t>US–Israeli war with Iran and halt to oil/gas exports through the Strait of Hormuz</t>
  </si>
  <si>
    <t>GPRD_21_1</t>
  </si>
  <si>
    <t>GPRD_21_2</t>
  </si>
  <si>
    <t>GPRD_21_3</t>
  </si>
  <si>
    <t>GPRD_21_4</t>
  </si>
  <si>
    <t>E13</t>
  </si>
  <si>
    <t>Belgorod cross-border raids by anti-Kremlin fighters</t>
  </si>
  <si>
    <t>GPRD_21_5</t>
  </si>
  <si>
    <t>GPRD_31_1</t>
  </si>
  <si>
    <t>GPRD_31_2</t>
  </si>
  <si>
    <t>GPRD_31_3</t>
  </si>
  <si>
    <t>E16</t>
  </si>
  <si>
    <t>Hamas-led attacks on Israel and the start of the Gaza war</t>
  </si>
  <si>
    <t>GPRD_31_4</t>
  </si>
  <si>
    <t>E20</t>
  </si>
  <si>
    <t>Israel–Iran war, US intervention and June ceasefire</t>
  </si>
  <si>
    <t>GPRD_31_5</t>
  </si>
  <si>
    <t>GPRD_ACT_11_1</t>
  </si>
  <si>
    <t>GPRD_ACT_11_2</t>
  </si>
  <si>
    <t>GPRD_ACT_11_3</t>
  </si>
  <si>
    <t>GPRD_ACT_11_4</t>
  </si>
  <si>
    <t>GPRD_ACT_11_5</t>
  </si>
  <si>
    <t>GPRD_ACT_21_1</t>
  </si>
  <si>
    <t>GPRD_ACT_21_2</t>
  </si>
  <si>
    <t>E21</t>
  </si>
  <si>
    <t>Battle of Aleppo and December Syria ceasefire</t>
  </si>
  <si>
    <t>GPRD_ACT_21_3</t>
  </si>
  <si>
    <t>GPRD_ACT_21_4</t>
  </si>
  <si>
    <t>GPRD_ACT_21_5</t>
  </si>
  <si>
    <t>GPRD_ACT_31_1</t>
  </si>
  <si>
    <t>GPRD_ACT_31_2</t>
  </si>
  <si>
    <t>GPRD_ACT_31_3</t>
  </si>
  <si>
    <t>GPRD_ACT_31_4</t>
  </si>
  <si>
    <t>GPRD_ACT_31_5</t>
  </si>
  <si>
    <t>GPRD_THREAT_11_1</t>
  </si>
  <si>
    <t>E26</t>
  </si>
  <si>
    <t>North Korea's announced nuclear test</t>
  </si>
  <si>
    <t>GPRD_THREAT_11_2</t>
  </si>
  <si>
    <t>GPRD_THREAT_11_3</t>
  </si>
  <si>
    <t>GPRD_THREAT_11_4</t>
  </si>
  <si>
    <t>E27</t>
  </si>
  <si>
    <t>Russia's full-scale invasion of Ukraine</t>
  </si>
  <si>
    <t>GPRD_THREAT_11_5</t>
  </si>
  <si>
    <t>GPRD_THREAT_21_1</t>
  </si>
  <si>
    <t>E28</t>
  </si>
  <si>
    <t>Russia's takeover of Crimea / Ukraine crisis</t>
  </si>
  <si>
    <t>GPRD_THREAT_21_2</t>
  </si>
  <si>
    <t>GPRD_THREAT_21_3</t>
  </si>
  <si>
    <t>GPRD_THREAT_21_4</t>
  </si>
  <si>
    <t>GPRD_THREAT_21_5</t>
  </si>
  <si>
    <t>GPRD_THREAT_31_1</t>
  </si>
  <si>
    <t>GPRD_THREAT_31_2</t>
  </si>
  <si>
    <t>GPRD_THREAT_31_3</t>
  </si>
  <si>
    <t>E36</t>
  </si>
  <si>
    <t>Nancy Pelosi's Taiwan visit and China's announced military drills</t>
  </si>
  <si>
    <t>GPRD_THREAT_31_4</t>
  </si>
  <si>
    <t>GPRD_THREAT_31_5</t>
  </si>
  <si>
    <t>Event_Start_Date</t>
  </si>
  <si>
    <t>Event_End_Date</t>
  </si>
  <si>
    <t>Raw_Rank</t>
  </si>
  <si>
    <t>Raw_Peak_Date</t>
  </si>
  <si>
    <t>Raw_GPR_Value</t>
  </si>
  <si>
    <t>Underlying_Event</t>
  </si>
  <si>
    <t>Source_ID</t>
  </si>
  <si>
    <t>Story_Break_Date</t>
  </si>
  <si>
    <t>Story_Date_Flag</t>
  </si>
  <si>
    <t>Iran nuclear deal reached in Vienna (JCPOA announcement)</t>
  </si>
  <si>
    <t>E01</t>
  </si>
  <si>
    <t>Suruç bombing and immediate Turkey–PKK/ISIS escalation</t>
  </si>
  <si>
    <t>E02</t>
  </si>
  <si>
    <t>Paris attacks and the Saint-Denis anti-terror raid</t>
  </si>
  <si>
    <t>E03</t>
  </si>
  <si>
    <t>Turkey shoots down a Russian military aircraft near the Syria border</t>
  </si>
  <si>
    <t>E04</t>
  </si>
  <si>
    <t>Islamic State attacks on Iran's parliament and Khomeini shrine</t>
  </si>
  <si>
    <t>E08</t>
  </si>
  <si>
    <t>Qatar diplomatic crisis begins as neighbouring states sever ties</t>
  </si>
  <si>
    <t>E09</t>
  </si>
  <si>
    <t>E10</t>
  </si>
  <si>
    <t>Attacks on Saudi Aramco facilities and accusations against Iran</t>
  </si>
  <si>
    <t>E11</t>
  </si>
  <si>
    <t>Turkey's Operation Peace Spring offensive in north-eastern Syria</t>
  </si>
  <si>
    <t>E12</t>
  </si>
  <si>
    <t>Tanker attack in Dubai amid the Iran war and Strait of Hormuz disruption</t>
  </si>
  <si>
    <t>E14</t>
  </si>
  <si>
    <t>President Biden announces withdrawal of US forces from Afghanistan</t>
  </si>
  <si>
    <t>E15</t>
  </si>
  <si>
    <t>Iran's accidental downing of Ukraine International Airlines Flight PS752</t>
  </si>
  <si>
    <t>E17</t>
  </si>
  <si>
    <t>US killing of Iranian general Qassem Soleimani</t>
  </si>
  <si>
    <t>E18</t>
  </si>
  <si>
    <t>May 2021 escalation of hostilities between Israel and Gaza</t>
  </si>
  <si>
    <t>E19</t>
  </si>
  <si>
    <t>Trump–Zelensky dispute and public blame over the war in Ukraine</t>
  </si>
  <si>
    <t>E22</t>
  </si>
  <si>
    <t>Volnovakha bus shelling in eastern Ukraine</t>
  </si>
  <si>
    <t>E23</t>
  </si>
  <si>
    <t>Fighting and the fall of Donetsk airport during the Donbas conflict</t>
  </si>
  <si>
    <t>E24</t>
  </si>
  <si>
    <t>E25</t>
  </si>
  <si>
    <t>NATO Wales Summit and pledge of support to Ukraine</t>
  </si>
  <si>
    <t>E29</t>
  </si>
  <si>
    <t>Islamic State video claiming to show the killing of Steven Sotloff</t>
  </si>
  <si>
    <t>E30</t>
  </si>
  <si>
    <t>US airstrikes against ISIS targets in Iraq</t>
  </si>
  <si>
    <t>E31</t>
  </si>
  <si>
    <t>Shipping disruption continues despite the temporary US–Iran ceasefire</t>
  </si>
  <si>
    <t>E32</t>
  </si>
  <si>
    <t>US naval blockade of Iranian ports and continuing Strait of Hormuz disruption</t>
  </si>
  <si>
    <t>E33</t>
  </si>
  <si>
    <t>North Korean threat to strike Guam and Trump 'fire and fury' response</t>
  </si>
  <si>
    <t>E34</t>
  </si>
  <si>
    <t>North Korea's first successful intercontinental ballistic missile test of July 2017</t>
  </si>
  <si>
    <t>E35</t>
  </si>
  <si>
    <t>Primary_Publisher</t>
  </si>
  <si>
    <t>Primary_Publication_Date</t>
  </si>
  <si>
    <t>Primary_Source_Headline</t>
  </si>
  <si>
    <t>Primary_Source_URL</t>
  </si>
  <si>
    <t>Supporting_Publisher</t>
  </si>
  <si>
    <t>Supporting_Publication_Date</t>
  </si>
  <si>
    <t>Supporting_Source_Headline</t>
  </si>
  <si>
    <t>Supporting_Source_URL</t>
  </si>
  <si>
    <t>Peak-Date / Evidence Note</t>
  </si>
  <si>
    <t>The Guardian</t>
  </si>
  <si>
    <t>Iran nuclear deal reached in Vienna</t>
  </si>
  <si>
    <t>https://www.theguardian.com/world/2015/jul/14/iran-nuclear-deal-expected-to-be-announced-in-vienna</t>
  </si>
  <si>
    <t>The 14 July JCPOA announcement directly predates the 15 July peak. The unrelated Turkey–Syria supporting article has been removed.</t>
  </si>
  <si>
    <t>UK Government (GOV.UK)</t>
  </si>
  <si>
    <t>Foreign Secretary condemns suicide attack in Turkey</t>
  </si>
  <si>
    <t>https://www.gov.uk/government/news/foreign-secretary-condemns-suicide-attack-in-turkey</t>
  </si>
  <si>
    <t>The Foreign Secretary's statement was published on 20 July, the day of the Suruç bombing, and directly names the attack. It supports the 21–22 July aftermath without creating the earlier 15 July temporal problem.</t>
  </si>
  <si>
    <t>COBR meeting on Paris attacks and call with President Hollande: 14 November</t>
  </si>
  <si>
    <t>https://www.gov.uk/government/news/cobr-meeting-on-paris-attacks-and-call-with-president-hollande-14-november</t>
  </si>
  <si>
    <t>What do we know about the St-Denis raids?</t>
  </si>
  <si>
    <t>https://www.theguardian.com/world/2015/nov/18/what-we-know-about-st-denis-raids-paris-attacks</t>
  </si>
  <si>
    <t>The 13 November Guardian report covers the Paris attacks; the 18 November Guardian report separately covers the St-Denis raid. Both selected dates therefore have contemporaneous support.</t>
  </si>
  <si>
    <t>Shooting down of Russian jet – how the day unfolded</t>
  </si>
  <si>
    <t>https://www.theguardian.com/world/2015/nov/24/shooting-down-of-russian-jet-how-the-day-unfolded</t>
  </si>
  <si>
    <t>The selected 25 November raw peak is the immediate aftermath of the 24 November downing; do not assign the November 17–18 Paris/Saint-Denis dates to this story.</t>
  </si>
  <si>
    <t>World leaders hail Gaza-Israel ceasefire and vow to help Palestinians rebuild</t>
  </si>
  <si>
    <t>https://www.theguardian.com/world/2021/may/21/gaza-israel-ceasefire-biden-raab-guterres</t>
  </si>
  <si>
    <t>UN Office for the Coordination of Humanitarian Affairs (OCHA)</t>
  </si>
  <si>
    <t>Response to the escalation in the oPt | Situation Report No. 5 (18-24 June 2021)</t>
  </si>
  <si>
    <t>https://www.ochaopt.org/content/response-escalation-opt-situation-report-no-5-18-24-june-2021</t>
  </si>
  <si>
    <t>Ukraine agrees to 30-day ceasefire as US prepares to lift military aid restrictions</t>
  </si>
  <si>
    <t>https://www.theguardian.com/world/2025/mar/11/ukraine-agrees-to-30-day-ceasefire-as-us-prepares-to-lift-military-aid-restrictions</t>
  </si>
  <si>
    <t>Europe’s leaders react with scepticism to partial Ukraine ceasefire</t>
  </si>
  <si>
    <t>https://www.theguardian.com/world/2025/mar/19/europe-leaders-react-with-scepticism-to-partial-ukraine-ceasefire-russia-putin</t>
  </si>
  <si>
    <t>The 11 March Guardian source establishes the ceasefire proposal and the 19 March Guardian source documents the later European/Putin response. The updated regression window includes 20 February, 18 March and 19 March for the relevant ACT episode, so the February rupture should remain separate from the March diplomacy.</t>
  </si>
  <si>
    <t>US and Israel launch strikes on Iran: what we know so far</t>
  </si>
  <si>
    <t>https://www.theguardian.com/world/2026/feb/28/us-israel-launch-strikes-attack-iran-what-we-know-so-far-latest</t>
  </si>
  <si>
    <t>Iran has largely halted oil and gas exports through strait of Hormuz</t>
  </si>
  <si>
    <t>https://www.theguardian.com/world/2026/mar/03/iran-has-largely-halted-oil-and-gas-exports-through-strait-of-hormuz</t>
  </si>
  <si>
    <t>The 28 February Guardian report establishes the start of the US–Israeli strikes on Iran. The 3 March Guardian report documents the resulting Strait of Hormuz oil and gas disruption, covering the early-March peaks as the conflict develops.</t>
  </si>
  <si>
    <t>Iranian military blames Saudis after 12 killed in Tehran terrorist attack</t>
  </si>
  <si>
    <t>https://www.theguardian.com/world/2017/jun/07/shootings-iranian-parliament-khomeini-shrine</t>
  </si>
  <si>
    <t>Direct match for the 7 June top raw day; distinguish it from the Qatar crisis on 5–6 June.</t>
  </si>
  <si>
    <t>Gulf plunged into diplomatic crisis as countries cut ties with Qatar</t>
  </si>
  <si>
    <t>https://www.theguardian.com/world/2017/jun/05/saudi-arabia-and-bahrain-break-diplomatic-ties-with-qatar-over-terrorism</t>
  </si>
  <si>
    <t>Use for the 5–6 June diplomatic-break story, not for the earlier 26 May raw peak; the QNA hack is recorded separately above.</t>
  </si>
  <si>
    <t>Pompeo: Iran behind attack on Saudi oil facilities that will reduce kingdom's output</t>
  </si>
  <si>
    <t>https://www.theguardian.com/world/2019/sep/14/pompeo-iran-saudi-arabia-oil-yemen-houthi</t>
  </si>
  <si>
    <t>The 17 and 19 September peaks are in the immediate aftermath of the 14 September Aramco attacks; the 16 October peak should instead be evaluated against the Turkish offensive below.</t>
  </si>
  <si>
    <t>Turkey unleashes airstrikes against Kurds in north-east Syria</t>
  </si>
  <si>
    <t>https://www.theguardian.com/world/2019/oct/09/turkey-launches-military-operation-in-northern-syria-erdogan</t>
  </si>
  <si>
    <t>The 9 October Guardian report documents the start of Turkey’s offensive. The 11 and 16 October peaks fall within that continuing operation; the story had already begun, so the label does not precede the event.</t>
  </si>
  <si>
    <t>Anti-Putin militia claims to have overrun village in Russia border region of Belgorod</t>
  </si>
  <si>
    <t>https://www.theguardian.com/world/2023/may/22/anti-kremlin-militia-freedom-of-russia-legion-overrun-russian-border-village-kozinka</t>
  </si>
  <si>
    <t>Anti-Putin partisans shell Russian town four miles from Ukraine border</t>
  </si>
  <si>
    <t>https://www.theguardian.com/world/2023/jun/01/anti-putin-partisans-shell-russian-town</t>
  </si>
  <si>
    <t>The 22 May Guardian report documents the first Belgorod incursion. The 1 June Guardian report documents the later cross-border action. Both are needed because the selected peaks include 23 May, 31 May and 1 June.</t>
  </si>
  <si>
    <t>‘There’s no safe place here’: Kuwaiti tanker hit by Iranian drone attack in Dubai port</t>
  </si>
  <si>
    <t>https://www.theguardian.com/world/2026/mar/31/kuwaiti-tanker-hit-by-iranian-attack-in-dubai-port-raising-oil-spill-fears</t>
  </si>
  <si>
    <t>Replaced the generic liveblog URL with the direct Guardian report on the 31 March tanker attack, with matching headline and publication date.</t>
  </si>
  <si>
    <t>United Nations (Secretary-General briefing)</t>
  </si>
  <si>
    <t>Daily Press Briefing by the Office of the Spokesperson for the Secretary-General</t>
  </si>
  <si>
    <t>https://press.un.org/en/2021/db210414.doc.htm</t>
  </si>
  <si>
    <t>The UN briefing is dated 14 April and directly addresses the US/NATO withdrawal announcement; the unrelated TIME supporting source has been removed.</t>
  </si>
  <si>
    <t>Israel and Hamas at war after surprise attacks from Gaza Strip</t>
  </si>
  <si>
    <t>https://www.theguardian.com/world/2023/oct/07/hamas-launches-surprise-attack-on-israel-as-palestinian-gunmen-reported-in-south</t>
  </si>
  <si>
    <t>Hostilities in the Gaza Strip and Israel | Flash Update #13</t>
  </si>
  <si>
    <t>https://www.ochaopt.org/content/hostilities-gaza-strip-and-israel-flash-update-13</t>
  </si>
  <si>
    <t>Changed the primary citation to same-day reporting on the 7 October start of the war. The 19 October OCHA update is retained as official evidence that hostilities were ongoing during the later raw-peak dates.</t>
  </si>
  <si>
    <t>Iran crash: plane shot down by accident, western officials believe</t>
  </si>
  <si>
    <t>https://www.theguardian.com/world/2020/jan/09/tehran-crash-plane-downed-by-iranian-missile-western-officials-believe</t>
  </si>
  <si>
    <t>Iran admits shooting down Ukrainian airliner unintentionally</t>
  </si>
  <si>
    <t>https://www.theguardian.com/world/2020/jan/11/iran-admits-shooting-down-ukrainian-airliner-unintentionally</t>
  </si>
  <si>
    <t>Primary source changed to reporting published on 9 January about the crash and early investigation, which better matches the 9–10 January raw peaks. The 11 January admission is retained as later confirmation, not as the source for the earlier observations.</t>
  </si>
  <si>
    <t>Iran: UK responds to US airstrike on military commander in Iraq</t>
  </si>
  <si>
    <t>https://www.gov.uk/government/news/iran-uk-responds-to-us-airstrike-on-military-commander-in-iraq</t>
  </si>
  <si>
    <t>The Foreign and Commonwealth Office statement was published on 3 January and directly addresses the US airstrike that killed Qasem Soleimani. It is a stronger official-source choice than the Guardian article and fits Henco's requested source mix.</t>
  </si>
  <si>
    <t>Gaza Strip: Escalation of hostilities 10–21 May 2021</t>
  </si>
  <si>
    <t>https://www.ochaopt.org/content/gaza-strip-escalation-hostilities-10-21-may-2021</t>
  </si>
  <si>
    <t>Israel launches airstrikes on Gaza Strip after Hamas rocket attacks</t>
  </si>
  <si>
    <t>https://www.theguardian.com/world/2021/may/10/hamas-fires-rockets-into-israel-in-dispute-over-jerusalem-mosque</t>
  </si>
  <si>
    <t>Official OCHA source reports the hostilities over 10–21 May and was published after that reporting period. The additional Guardian report is contemporaneous with the 10 May escalation.</t>
  </si>
  <si>
    <t>United Nations Security Council (meeting coverage)</t>
  </si>
  <si>
    <t>Meeting in Wake of Israeli Air Strikes on Iran, Delegates in Security Council Urge De-escalation, Diplomacy to Prevent Further Strain in Conflict-Ridden Region</t>
  </si>
  <si>
    <t>https://press.un.org/en/2025/sc16087.doc.htm</t>
  </si>
  <si>
    <t>Ceasefire, strikes and fury from Trump: chaotic 24 hours in Israel-Iran war</t>
  </si>
  <si>
    <t>https://www.theguardian.com/world/2025/jun/24/chaotic-24-hours-in-israel-iran-war</t>
  </si>
  <si>
    <t>The UN Security Council source establishes the 13 June start of the Israel–Iran war. The 24 June Guardian report documents the ceasefire developments during the later phase of the conflict. The 18, 24 and 25 June peaks are therefore covered without using a Times of Israel source.</t>
  </si>
  <si>
    <t>Aleppo: Russia-Turkey ceasefire deal offers hope of survival for residents</t>
  </si>
  <si>
    <t>https://www.theguardian.com/world/2016/dec/13/deal-reached-to-evacuate-rebels-and-civilians-from-aleppo</t>
  </si>
  <si>
    <t>Syria ceasefire holds as Russia and Turkey seek UN support</t>
  </si>
  <si>
    <t>https://www.theguardian.com/world/2016/dec/30/syria-ceasefire-remains-intact-despite-apparent-government-violations</t>
  </si>
  <si>
    <t>Trump blames Ukraine over war with Russia, saying it could have made a deal</t>
  </si>
  <si>
    <t>https://www.theguardian.com/world/2025/feb/19/trump-ukraine-war-russia-could-have-made-a-deal</t>
  </si>
  <si>
    <t>The 20 February raw peak should not be labelled as March ceasefire talks; this was a distinct and earlier US–Ukraine diplomatic rupture.</t>
  </si>
  <si>
    <t>United Nations (Security Council)</t>
  </si>
  <si>
    <t>Security Council Press Statement on Killing of Bus Passengers in Donetsk Region, Ukraine</t>
  </si>
  <si>
    <t>https://press.un.org/en/2015/sc11733.doc.htm</t>
  </si>
  <si>
    <t>The UN Security Council statement was issued on 13 January, the day of the Volnovakha bus shelling, and directly identifies the incident and casualties. It is stronger for the final source set than the OSCE report published the following day.</t>
  </si>
  <si>
    <t>Russia-backed separatists seize Donetsk airport in Ukraine</t>
  </si>
  <si>
    <t>https://www.theguardian.com/world/2015/jan/15/russian-backed-separatists-seize-donetsk-airport-ukraine</t>
  </si>
  <si>
    <t>The Guardian article is hosted and published by The Guardian, although the report is credited to the Associated Press. The 15–16 January raw peaks fall on reporting of the airport's fall and continuing fighting; this remains separate from the Volnovakha bus attack.</t>
  </si>
  <si>
    <t>India–Pakistan escalation from Pulwama through the Balakot airstrike</t>
  </si>
  <si>
    <t>Dozens of Indian paramilitaries killed in Kashmir car bombing</t>
  </si>
  <si>
    <t>https://www.theguardian.com/world/2019/feb/14/indian-paramilitaries-killed-in-suicide-car-bombing-in-kashmir</t>
  </si>
  <si>
    <t>Kashmir's fog of war: how conflicting accounts benefit both sides</t>
  </si>
  <si>
    <t>https://www.theguardian.com/world/2019/mar/05/kashmir-fog-of-war-how-conflicting-accounts-benefit-india-pakistan</t>
  </si>
  <si>
    <t>Comprehensive Nuclear-Test-Ban Treaty Organization (CTBTO)</t>
  </si>
  <si>
    <t>CTBTO Executive Secretary Lassina Zerbo on the unusual seismic event detected in the Democratic People's Republic of Korea on 06 January 2016</t>
  </si>
  <si>
    <t>https://www.ctbto.org/resources/for-the-media/press-releases/ctbto-executive-secretary-lassina-zerbo-unusual-seismic</t>
  </si>
  <si>
    <t>United Nations Secretary-General (UN press release)</t>
  </si>
  <si>
    <t>Secretary-General, in Statement on Ukraine, Calls Russian Federation’s Military Offensive ‘Wrong, against Charter, Unacceptable, But Not Irreversible’</t>
  </si>
  <si>
    <t>https://press.un.org/en/2022/sgsm21158.doc.htm</t>
  </si>
  <si>
    <t>Corrected the shortened headline to the exact official UN title. The statement is dated 24 February, the day of the full-scale invasion.</t>
  </si>
  <si>
    <t>Ukraine crisis: Kerry says Russia 'hiding hand behind falsehoods'</t>
  </si>
  <si>
    <t>https://www.theguardian.com/world/2014/mar/04/ukraine-crisis-shots-fired-crimea-airbase</t>
  </si>
  <si>
    <t>Putin signs treaty to annex Crimea as Ukraine authorises use of force</t>
  </si>
  <si>
    <t>https://www.theguardian.com/world/2014/mar/18/ukraine-crisis-putin-plan-crimea-annex-speech-russia-live</t>
  </si>
  <si>
    <t>The 4–5 March peaks are covered by same-day Guardian reporting on Russian control of Crimea; the 18 March peak is covered by same-day Guardian reporting on Putin’s annexation announcement.</t>
  </si>
  <si>
    <t>NATO Summit Wales 2014 - as it happened</t>
  </si>
  <si>
    <t>https://www.gov.uk/government/news/nato-summit-wales-2014-live</t>
  </si>
  <si>
    <t>Official UK government live coverage was published on 3 September and records the 4 September day-one announcements, including leaders pledging strong support for Ukraine. This is preferable to the NATO-hosted source because it matches Henco's requested source set while directly documenting the 4 September event.</t>
  </si>
  <si>
    <t>Steven Sotloff: Isis video claims to show beheading of US journalist</t>
  </si>
  <si>
    <t>https://www.theguardian.com/world/2014/sep/02/isis-video-steven-sotloff-beheading</t>
  </si>
  <si>
    <t>The selected 2 September raw day corresponds to the Sotloff video, not the James Foley killing in August.</t>
  </si>
  <si>
    <t>US begins air strikes against Isis targets in Iraq, Pentagon says</t>
  </si>
  <si>
    <t>https://www.theguardian.com/world/2014/aug/08/us-begins-air-strikes-iraq-isis</t>
  </si>
  <si>
    <t>Direct same-day match for the selected 8 August raw-GPR observation; this replaces the old Russian aid-convoy label for that day.</t>
  </si>
  <si>
    <t>Ceasefire changes little for shipping in strait of Hormuz, experts say</t>
  </si>
  <si>
    <t>https://www.theguardian.com/world/2026/apr/08/us-iran-ceasefire-mass-exodus-ships-strait-hormuz-analysts</t>
  </si>
  <si>
    <t>Published on 8 April and directly discusses persistent shipping disruption; relevant to the 9 April raw peak.</t>
  </si>
  <si>
    <t>US starts naval blockade of Iranian ports after deadline passes</t>
  </si>
  <si>
    <t>https://www.theguardian.com/world/2026/apr/13/deadline-passes-for-us-blockade-on-ships-using-iranian-ports-to-begin</t>
  </si>
  <si>
    <t>Middle East crisis live: Hezbollah urges Lebanon to pull out of talks with Israel; blockade of strait of Hormuz begins</t>
  </si>
  <si>
    <t>https://www.theguardian.com/world/live/2026/apr/14/middle-east-crisis-live-hezbollah-urges-lebanon-to-pull-out-of-talks-with-israel-blockade-of-strait-of-hormuz-begins</t>
  </si>
  <si>
    <t>US airbase in Guam threatened by North Korea as Trump promises 'fire and fury'</t>
  </si>
  <si>
    <t>https://www.theguardian.com/world/2017/aug/09/north-korea-us-airbase-guam-trump-fire-fury</t>
  </si>
  <si>
    <t>North Korea details Guam strike plan and calls Trump 'bereft of reason'</t>
  </si>
  <si>
    <t>https://www.theguardian.com/world/2017/aug/10/north-korea-details-guam-strike-trump-load-of-nonsense</t>
  </si>
  <si>
    <t>North Korea claims successful test of intercontinental ballistic missile</t>
  </si>
  <si>
    <t>https://www.theguardian.com/world/2017/jul/04/north-korea-launches-ballistic-missile-japans-defence-ministry-says</t>
  </si>
  <si>
    <t>The 5–6 July raw peaks follow the ICBM launch. The 10 August selected peak is a distinct later Guam-threat story and should not be labelled as the July test.</t>
  </si>
  <si>
    <t>Nancy Pelosi arrives in Taiwan as China puts military on high alert</t>
  </si>
  <si>
    <t>https://www.theguardian.com/world/2022/aug/02/nancy-pelosi-lands-in-taiwan-amid-soaring-tensions-with-china</t>
  </si>
  <si>
    <t>The 2–4 August raw peaks correspond to Pelosi's visit and China's military response, not the July 2022 Vinnytsia missile strike.</t>
  </si>
  <si>
    <t>News_Start_Date</t>
  </si>
  <si>
    <t>News_End_Date</t>
  </si>
  <si>
    <t>Regression_Window_Flag</t>
  </si>
  <si>
    <t>E37</t>
  </si>
  <si>
    <t>The 21 May Guardian report documents the ceasefire and immediate reconstruction commitment. The page reports first publication at 23:29 EDT on 20 May, equivalent to 04:29 BST on 21 May; the publication date recorded here matches the URL/UK calendar date. The OCHA situation report covers 18–24 June and confirms that the ceasefire was largely holding during the 22 June peak.</t>
  </si>
  <si>
    <t>The 14 February Guardian article establishes the episode before the 15 February peak. The 5 March Guardian follow-up covers the 26 February Balakot airstrikes and continuing India–Pakistan confrontation. I did not find a Guardian article published on 19 March 2019 among the sources checked, so that later peak is supported by the broader ongoing-crisis label rather than a same-day Guardian citation.</t>
  </si>
  <si>
    <t>The CTBTO press release is dated 6 January and reports detection at 01:30 UTC. That is 20:30 EST on 5 January, which explains why a raw GPR peak can appear on 5 January while the official source date is 6 January. The one-day difference is within the audit's allowed tolerance; later selected peaks are also covered by the same test story.</t>
  </si>
  <si>
    <t>The primary Guardian article documents the blockade start on 13 April. The supporting liveblog URL uses 14 April; its first-publication timestamp is 21:29 EDT on 13 April, equivalent to 02:29 BST on 14 April. The supporting publication date is recorded as 14 April to match the URL/UK date convention.</t>
  </si>
  <si>
    <t>The article page records first publication at 23:51 EDT on 8 August 2017, equivalent to 04:51 BST on 9 August. The publication date in the table follows the URL/UK calendar date (9 August); the story itself broke on 8 August in the US. The 10 August article provides follow-up.</t>
  </si>
  <si>
    <t>Ardern says she will never speak name of Christchurch suspect</t>
  </si>
  <si>
    <t>https://www.theguardian.com/world/2019/mar/19/new-zealand-shooting-ardern-says-she-will-never-speak-suspects-name</t>
  </si>
  <si>
    <t>Retained for the 30 December 2016 raw peak covering the Syria ceasefire, with the 13 December Aleppo report retained as broader context. The 21 and 23 December raw peaks were reassigned to the Berlin Christmas market attack/manhunt (E39) after review. The assassination of the Russian ambassador in Ankara also occurred on 19 December; the attribution records the selected news episode, not proof that one story alone drove the aggregate GPR index.</t>
  </si>
  <si>
    <t>Christchurch mosque attacks in New Zealand</t>
  </si>
  <si>
    <t>Christchurch massacre: PM confirms children among shooting victims – as it happened</t>
  </si>
  <si>
    <t>https://www.theguardian.com/world/live/2019/mar/15/christchurch-shooting-injuries-reported-as-police-respond-to-critical-incident-live?filterKeyEvents=false&amp;page=with%3Ablock-5c8b6921e4b016d23425c518</t>
  </si>
  <si>
    <t>The underlying episode is the Christchurch mosque attacks of 15 March 2019. Same-day Guardian coverage is the primary source; the 19 March Ardern article is retained as supporting follow-up. The selected raw peak remains 19 March 2019 in GPRD_ACT_31_4.</t>
  </si>
  <si>
    <t>E38</t>
  </si>
  <si>
    <t>Minya bus attack on Coptic Christians in Egypt</t>
  </si>
  <si>
    <t>Egypt launches raids in Libya after attack on Coptic Christians kills 26</t>
  </si>
  <si>
    <t>https://www.theguardian.com/world/2017/may/26/several-killed-in-attack-on-bus-carrying-coptic-christians-in-egypt</t>
  </si>
  <si>
    <t>Berlin Christmas market attack and manhunt for Anis Amri</t>
  </si>
  <si>
    <t>Berlin Christmas market attack: a graphical guide to what we know so far</t>
  </si>
  <si>
    <t>https://www.theguardian.com/world/2016/dec/21/berlin-christmas-market-attack-a-graphical-guide-to-what-we-know-so-far</t>
  </si>
  <si>
    <t>Berlin attack suspect pledged allegiance to Isis in video – live coverage</t>
  </si>
  <si>
    <t>https://www.theguardian.com/world/live/2016/dec/23/berlin-market-attack-suspect-anis-amri-killed-in-milan-reports-say-live-coverage?page=with%3Ablock-585d2f0ee4b06265ff0d6175</t>
  </si>
  <si>
    <t>Assigned to the 21 and 23 December 2016 raw peaks in the 21- and 31-day ACT specifications. The 21 December Guardian report covers the Berlin market attack and manhunt; the 23 December live coverage reports Anis Amri was shot dead in Milan. The Russian ambassador was also assassinated in Ankara on 19 December, so the GPR peak should not be interpreted as proof that the Berlin story alone drove the index.</t>
  </si>
  <si>
    <t>Assigned to the 26 May 2017 raw peak in GPRD_ACT_21_3. Same-day Guardian coverage identifies the Minya bus attack on Coptic Christians as an ACT-type event. This attribution does not prove that the story alone drove the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</si>
</sst>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color theme="1"/>
      <name val="Aptos Narrow"/>
    </font>
    <font>
      <b/>
      <sz val="11"/>
      <color rgb="FFFFFFFF"/>
      <name val="Carlito"/>
    </font>
    <font>
      <sz val="11"/>
      <color rgb="FF000000"/>
      <name val="Calibri"/>
      <family val="2"/>
    </font>
    <font>
      <sz val="11"/>
      <color rgb="FF000000"/>
      <name val="Aptos Narrow"/>
      <family val="2"/>
    </font>
    <font>
      <b/>
      <sz val="11"/>
      <color rgb="FFFFFFFF"/>
      <name val="Calibri"/>
      <family val="2"/>
    </font>
    <font>
      <sz val="11"/>
      <color theme="1"/>
      <name val="Aptos Narrow"/>
      <family val="2"/>
    </font>
    <font>
      <sz val="8"/>
      <name val="Aptos Narrow"/>
      <family val="2"/>
    </font>
  </fonts>
  <fills count="6">
    <fill>
      <patternFill patternType="none"/>
    </fill>
    <fill>
      <patternFill patternType="gray125"/>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s>
  <borders count="13">
    <border>
      <left/>
      <right/>
      <top/>
      <bottom/>
      <diagonal/>
    </border>
    <border>
      <left/>
      <right/>
      <top style="thin">
        <color rgb="FFD9E2F3"/>
      </top>
      <bottom style="thin">
        <color rgb="FFD9E2F3"/>
      </bottom>
      <diagonal/>
    </border>
    <border>
      <left/>
      <right/>
      <top style="thin">
        <color rgb="FFD9E2F3"/>
      </top>
      <bottom/>
      <diagonal/>
    </border>
    <border>
      <left/>
      <right/>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diagonal/>
    </border>
    <border>
      <left style="thin">
        <color rgb="FFD9E2F3"/>
      </left>
      <right/>
      <top/>
      <bottom/>
      <diagonal/>
    </border>
    <border>
      <left style="thin">
        <color rgb="FFD9E2F3"/>
      </left>
      <right/>
      <top/>
      <bottom style="thin">
        <color rgb="FFD9E2F3"/>
      </bottom>
      <diagonal/>
    </border>
    <border>
      <left/>
      <right/>
      <top/>
      <bottom style="medium">
        <color rgb="FFB7B7B7"/>
      </bottom>
      <diagonal/>
    </border>
    <border>
      <left/>
      <right/>
      <top style="medium">
        <color rgb="FFD9E2F3"/>
      </top>
      <bottom style="medium">
        <color rgb="FFD9E2F3"/>
      </bottom>
      <diagonal/>
    </border>
    <border>
      <left/>
      <right/>
      <top style="medium">
        <color rgb="FFD9E2F3"/>
      </top>
      <bottom/>
      <diagonal/>
    </border>
    <border>
      <left/>
      <right/>
      <top/>
      <bottom style="medium">
        <color rgb="FFD9E2F3"/>
      </bottom>
      <diagonal/>
    </border>
  </borders>
  <cellStyleXfs count="2">
    <xf numFmtId="0" fontId="0" fillId="0" borderId="0"/>
    <xf numFmtId="0" fontId="5" fillId="0" borderId="0"/>
  </cellStyleXfs>
  <cellXfs count="29">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164" fontId="0" fillId="0" borderId="2" xfId="0" applyNumberFormat="1" applyBorder="1" applyAlignment="1">
      <alignment vertical="top" wrapText="1"/>
    </xf>
    <xf numFmtId="0" fontId="0" fillId="0" borderId="0" xfId="0" applyAlignment="1">
      <alignment vertical="top" wrapText="1"/>
    </xf>
    <xf numFmtId="164" fontId="0" fillId="0" borderId="0" xfId="0" applyNumberFormat="1" applyAlignment="1">
      <alignment vertical="top" wrapText="1"/>
    </xf>
    <xf numFmtId="0" fontId="0" fillId="0" borderId="3" xfId="0" applyBorder="1" applyAlignment="1">
      <alignment vertical="top" wrapText="1"/>
    </xf>
    <xf numFmtId="164" fontId="0" fillId="0" borderId="3" xfId="0" applyNumberFormat="1" applyBorder="1" applyAlignment="1">
      <alignment vertical="top"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1" fillId="3" borderId="10" xfId="0" applyFont="1" applyFill="1" applyBorder="1" applyAlignment="1">
      <alignment horizontal="center" vertical="center" wrapText="1"/>
    </xf>
    <xf numFmtId="0" fontId="3" fillId="0" borderId="11" xfId="0" applyFont="1" applyBorder="1" applyAlignment="1">
      <alignment vertical="top" wrapText="1"/>
    </xf>
    <xf numFmtId="0" fontId="3" fillId="0" borderId="0" xfId="0" applyFont="1" applyAlignment="1">
      <alignment vertical="top" wrapText="1"/>
    </xf>
    <xf numFmtId="0" fontId="3" fillId="0" borderId="12" xfId="0" applyFont="1" applyBorder="1" applyAlignment="1">
      <alignment vertical="top" wrapText="1"/>
    </xf>
    <xf numFmtId="0" fontId="3" fillId="0" borderId="0" xfId="0" applyFont="1"/>
    <xf numFmtId="164" fontId="3" fillId="0" borderId="0" xfId="0" applyNumberFormat="1" applyFont="1"/>
    <xf numFmtId="0" fontId="1" fillId="4" borderId="5" xfId="0" applyFont="1" applyFill="1" applyBorder="1" applyAlignment="1">
      <alignment horizontal="center" vertical="center" wrapText="1"/>
    </xf>
    <xf numFmtId="164" fontId="0" fillId="0" borderId="0" xfId="0" applyNumberFormat="1"/>
    <xf numFmtId="0" fontId="1" fillId="5" borderId="0" xfId="0" applyFont="1" applyFill="1" applyAlignment="1">
      <alignment horizontal="center" vertical="center" wrapText="1"/>
    </xf>
    <xf numFmtId="0" fontId="5" fillId="0" borderId="0" xfId="1"/>
    <xf numFmtId="0" fontId="2" fillId="0" borderId="0" xfId="1" applyFont="1" applyAlignment="1">
      <alignment vertical="top" wrapText="1"/>
    </xf>
    <xf numFmtId="164" fontId="2" fillId="0" borderId="0" xfId="1" applyNumberFormat="1" applyFont="1" applyAlignment="1">
      <alignment vertical="top" wrapText="1"/>
    </xf>
    <xf numFmtId="0" fontId="4" fillId="5" borderId="9" xfId="1" applyFont="1" applyFill="1" applyBorder="1" applyAlignment="1">
      <alignment horizontal="center" vertical="center" wrapText="1"/>
    </xf>
    <xf numFmtId="164" fontId="5" fillId="0" borderId="0" xfId="1" applyNumberFormat="1"/>
    <xf numFmtId="0" fontId="5" fillId="0" borderId="0" xfId="1" applyAlignment="1">
      <alignment wrapText="1"/>
    </xf>
    <xf numFmtId="0" fontId="5" fillId="0" borderId="0" xfId="0" applyFont="1" applyAlignment="1">
      <alignment wrapText="1"/>
    </xf>
  </cellXfs>
  <cellStyles count="2">
    <cellStyle name="Normal" xfId="0" builtinId="0"/>
    <cellStyle name="Normal 2" xfId="1" xr:uid="{E8423090-BD3F-41FC-BB24-9D01F52E6F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
  <sheetViews>
    <sheetView topLeftCell="D1" zoomScale="88" workbookViewId="0">
      <selection activeCell="J2" sqref="J2"/>
    </sheetView>
  </sheetViews>
  <sheetFormatPr defaultRowHeight="14.4"/>
  <cols>
    <col min="2" max="5" width="10.33203125" customWidth="1"/>
    <col min="6" max="6" width="12.33203125" bestFit="1" customWidth="1"/>
    <col min="7" max="7" width="10.33203125" customWidth="1"/>
    <col min="8" max="8" width="11.5546875" customWidth="1"/>
    <col min="9" max="9" width="10.33203125" customWidth="1"/>
    <col min="10" max="10" width="12.33203125" bestFit="1" customWidth="1"/>
    <col min="11" max="11" width="12.33203125" customWidth="1"/>
    <col min="12" max="12" width="11.44140625" customWidth="1"/>
    <col min="13" max="13" width="89" customWidth="1"/>
  </cols>
  <sheetData>
    <row r="1" spans="1:13" ht="41.4">
      <c r="A1" s="1" t="s">
        <v>0</v>
      </c>
      <c r="B1" s="1" t="s">
        <v>1</v>
      </c>
      <c r="C1" s="1" t="s">
        <v>2</v>
      </c>
      <c r="D1" s="1" t="s">
        <v>3</v>
      </c>
      <c r="E1" s="1" t="s">
        <v>4</v>
      </c>
      <c r="F1" s="1" t="s">
        <v>5</v>
      </c>
      <c r="G1" s="1" t="s">
        <v>6</v>
      </c>
      <c r="H1" s="1" t="s">
        <v>7</v>
      </c>
      <c r="I1" s="1" t="s">
        <v>8</v>
      </c>
      <c r="J1" s="1" t="s">
        <v>9</v>
      </c>
      <c r="K1" s="1" t="s">
        <v>10</v>
      </c>
      <c r="L1" s="1" t="s">
        <v>11</v>
      </c>
      <c r="M1" s="1" t="s">
        <v>12</v>
      </c>
    </row>
    <row r="2" spans="1:13" ht="28.8">
      <c r="A2" s="2" t="s">
        <v>13</v>
      </c>
      <c r="B2" s="3">
        <v>42207</v>
      </c>
      <c r="C2" s="3">
        <v>42192</v>
      </c>
      <c r="D2" s="3">
        <v>42212</v>
      </c>
      <c r="E2" s="3">
        <v>42200</v>
      </c>
      <c r="F2" s="2">
        <v>229.97799682617199</v>
      </c>
      <c r="G2" s="3">
        <v>42206</v>
      </c>
      <c r="H2" s="2">
        <v>193.97918701171901</v>
      </c>
      <c r="I2" s="3">
        <v>42207</v>
      </c>
      <c r="J2" s="2">
        <v>152.95497131347699</v>
      </c>
      <c r="K2" cm="1">
        <f t="array" ref="K2">ROWS(_xlfn.UNIQUE(_xlfn._xlws.FILTER('135 Raw Peak Audit'!$G$2:$G$136,('135 Raw Peak Audit'!$A$2:$A$136=$A2)*('135 Raw Peak Audit'!$G$2:$G$136&lt;&gt;""))))</f>
        <v>2</v>
      </c>
      <c r="L2" t="str" cm="1">
        <f t="array" ref="L2">_xlfn.TEXTJOIN("; ",TRUE,_xlfn.UNIQUE(_xlfn._xlws.FILTER('135 Raw Peak Audit'!$I$2:$I$136,('135 Raw Peak Audit'!$A$2:$A$136=$A2)*('135 Raw Peak Audit'!$I$2:$I$136&lt;&gt;""))))</f>
        <v>E01; E02</v>
      </c>
      <c r="M2" t="str" cm="1">
        <f t="array" ref="M2">_xlfn.TEXTJOIN("; ",TRUE,_xlfn.UNIQUE(_xlfn._xlws.FILTER('135 Raw Peak Audit'!$G$2:$G$136,('135 Raw Peak Audit'!$A$2:$A$136=$A2)*('135 Raw Peak Audit'!$G$2:$G$136&lt;&gt;""))))</f>
        <v>Iran nuclear deal reached in Vienna (JCPOA announcement); Suruç bombing and immediate Turkey–PKK/ISIS escalation</v>
      </c>
    </row>
    <row r="3" spans="1:13" ht="28.8">
      <c r="A3" s="4" t="s">
        <v>14</v>
      </c>
      <c r="B3" s="5">
        <v>42331</v>
      </c>
      <c r="C3" s="5">
        <v>42314</v>
      </c>
      <c r="D3" s="5">
        <v>42338</v>
      </c>
      <c r="E3" s="5">
        <v>42325</v>
      </c>
      <c r="F3" s="4">
        <v>354.05187988281199</v>
      </c>
      <c r="G3" s="5">
        <v>42326</v>
      </c>
      <c r="H3" s="4">
        <v>309.495361328125</v>
      </c>
      <c r="I3" s="5">
        <v>42333</v>
      </c>
      <c r="J3" s="4">
        <v>247.6171875</v>
      </c>
      <c r="K3" cm="1">
        <f t="array" ref="K3">ROWS(_xlfn.UNIQUE(_xlfn._xlws.FILTER('135 Raw Peak Audit'!$G$2:$G$136,('135 Raw Peak Audit'!$A$2:$A$136=$A3)*('135 Raw Peak Audit'!$G$2:$G$136&lt;&gt;""))))</f>
        <v>2</v>
      </c>
      <c r="L3" t="str" cm="1">
        <f t="array" ref="L3">_xlfn.TEXTJOIN("; ",TRUE,_xlfn.UNIQUE(_xlfn._xlws.FILTER('135 Raw Peak Audit'!$I$2:$I$136,('135 Raw Peak Audit'!$A$2:$A$136=$A3)*('135 Raw Peak Audit'!$I$2:$I$136&lt;&gt;""))))</f>
        <v>E03; E04</v>
      </c>
      <c r="M3" t="str" cm="1">
        <f t="array" ref="M3">_xlfn.TEXTJOIN("; ",TRUE,_xlfn.UNIQUE(_xlfn._xlws.FILTER('135 Raw Peak Audit'!$G$2:$G$136,('135 Raw Peak Audit'!$A$2:$A$136=$A3)*('135 Raw Peak Audit'!$G$2:$G$136&lt;&gt;""))))</f>
        <v>Paris attacks and the Saint-Denis anti-terror raid; Turkey shoots down a Russian military aircraft near the Syria border</v>
      </c>
    </row>
    <row r="4" spans="1:13" ht="28.8">
      <c r="A4" s="4" t="s">
        <v>15</v>
      </c>
      <c r="B4" s="5">
        <v>44336</v>
      </c>
      <c r="C4" s="5">
        <v>44320</v>
      </c>
      <c r="D4" s="5">
        <v>44354</v>
      </c>
      <c r="E4" s="5">
        <v>44342</v>
      </c>
      <c r="F4" s="4">
        <v>176.61283874511699</v>
      </c>
      <c r="G4" s="5">
        <v>44341</v>
      </c>
      <c r="H4" s="4">
        <v>170.94143676757801</v>
      </c>
      <c r="I4" s="5">
        <v>44337</v>
      </c>
      <c r="J4" s="4">
        <v>165.85250854492199</v>
      </c>
      <c r="K4" cm="1">
        <f t="array" ref="K4">ROWS(_xlfn.UNIQUE(_xlfn._xlws.FILTER('135 Raw Peak Audit'!$G$2:$G$136,('135 Raw Peak Audit'!$A$2:$A$136=$A4)*('135 Raw Peak Audit'!$G$2:$G$136&lt;&gt;""))))</f>
        <v>1</v>
      </c>
      <c r="L4" t="str" cm="1">
        <f t="array" ref="L4">_xlfn.TEXTJOIN("; ",TRUE,_xlfn.UNIQUE(_xlfn._xlws.FILTER('135 Raw Peak Audit'!$I$2:$I$136,('135 Raw Peak Audit'!$A$2:$A$136=$A4)*('135 Raw Peak Audit'!$I$2:$I$136&lt;&gt;""))))</f>
        <v>E05</v>
      </c>
      <c r="M4" t="str" cm="1">
        <f t="array" ref="M4">_xlfn.TEXTJOIN("; ",TRUE,_xlfn.UNIQUE(_xlfn._xlws.FILTER('135 Raw Peak Audit'!$G$2:$G$136,('135 Raw Peak Audit'!$A$2:$A$136=$A4)*('135 Raw Peak Audit'!$G$2:$G$136&lt;&gt;""))))</f>
        <v>Israel–Gaza ceasefire and post-conflict reconstruction commitments</v>
      </c>
    </row>
    <row r="5" spans="1:13" ht="28.8">
      <c r="A5" s="4" t="s">
        <v>18</v>
      </c>
      <c r="B5" s="5">
        <v>45729</v>
      </c>
      <c r="C5" s="5">
        <v>45719</v>
      </c>
      <c r="D5" s="5">
        <v>45747</v>
      </c>
      <c r="E5" s="5">
        <v>45735</v>
      </c>
      <c r="F5" s="4">
        <v>275.09213256835898</v>
      </c>
      <c r="G5" s="5">
        <v>45729</v>
      </c>
      <c r="H5" s="4">
        <v>254.812911987305</v>
      </c>
      <c r="I5" s="5">
        <v>45736</v>
      </c>
      <c r="J5" s="4">
        <v>246.20436096191401</v>
      </c>
      <c r="K5" cm="1">
        <f t="array" ref="K5">ROWS(_xlfn.UNIQUE(_xlfn._xlws.FILTER('135 Raw Peak Audit'!$G$2:$G$136,('135 Raw Peak Audit'!$A$2:$A$136=$A5)*('135 Raw Peak Audit'!$G$2:$G$136&lt;&gt;""))))</f>
        <v>1</v>
      </c>
      <c r="L5" t="str" cm="1">
        <f t="array" ref="L5">_xlfn.TEXTJOIN("; ",TRUE,_xlfn.UNIQUE(_xlfn._xlws.FILTER('135 Raw Peak Audit'!$I$2:$I$136,('135 Raw Peak Audit'!$A$2:$A$136=$A5)*('135 Raw Peak Audit'!$I$2:$I$136&lt;&gt;""))))</f>
        <v>E06</v>
      </c>
      <c r="M5" t="str" cm="1">
        <f t="array" ref="M5">_xlfn.TEXTJOIN("; ",TRUE,_xlfn.UNIQUE(_xlfn._xlws.FILTER('135 Raw Peak Audit'!$G$2:$G$136,('135 Raw Peak Audit'!$A$2:$A$136=$A5)*('135 Raw Peak Audit'!$G$2:$G$136&lt;&gt;""))))</f>
        <v>Ukraine ceasefire diplomacy and Putin's response/conditions</v>
      </c>
    </row>
    <row r="6" spans="1:13" ht="28.8">
      <c r="A6" s="4" t="s">
        <v>21</v>
      </c>
      <c r="B6" s="5">
        <v>46091</v>
      </c>
      <c r="C6" s="5">
        <v>46069</v>
      </c>
      <c r="D6" s="5">
        <v>46097</v>
      </c>
      <c r="E6" s="5">
        <v>46085</v>
      </c>
      <c r="F6" s="4">
        <v>465.91864013671898</v>
      </c>
      <c r="G6" s="5">
        <v>46091</v>
      </c>
      <c r="H6" s="4">
        <v>457.110595703125</v>
      </c>
      <c r="I6" s="5">
        <v>46086</v>
      </c>
      <c r="J6" s="4">
        <v>413.36315917968801</v>
      </c>
      <c r="K6" cm="1">
        <f t="array" ref="K6">ROWS(_xlfn.UNIQUE(_xlfn._xlws.FILTER('135 Raw Peak Audit'!$G$2:$G$136,('135 Raw Peak Audit'!$A$2:$A$136=$A6)*('135 Raw Peak Audit'!$G$2:$G$136&lt;&gt;""))))</f>
        <v>1</v>
      </c>
      <c r="L6" t="str" cm="1">
        <f t="array" ref="L6">_xlfn.TEXTJOIN("; ",TRUE,_xlfn.UNIQUE(_xlfn._xlws.FILTER('135 Raw Peak Audit'!$I$2:$I$136,('135 Raw Peak Audit'!$A$2:$A$136=$A6)*('135 Raw Peak Audit'!$I$2:$I$136&lt;&gt;""))))</f>
        <v>E07</v>
      </c>
      <c r="M6" t="str" cm="1">
        <f t="array" ref="M6">_xlfn.TEXTJOIN("; ",TRUE,_xlfn.UNIQUE(_xlfn._xlws.FILTER('135 Raw Peak Audit'!$G$2:$G$136,('135 Raw Peak Audit'!$A$2:$A$136=$A6)*('135 Raw Peak Audit'!$G$2:$G$136&lt;&gt;""))))</f>
        <v>US–Israeli war with Iran and halt to oil/gas exports through the Strait of Hormuz</v>
      </c>
    </row>
    <row r="7" spans="1:13" ht="28.8">
      <c r="A7" s="4" t="s">
        <v>24</v>
      </c>
      <c r="B7" s="5">
        <v>42338</v>
      </c>
      <c r="C7" s="5">
        <v>42307</v>
      </c>
      <c r="D7" s="5">
        <v>42355</v>
      </c>
      <c r="E7" s="5">
        <v>42325</v>
      </c>
      <c r="F7" s="4">
        <v>354.05187988281199</v>
      </c>
      <c r="G7" s="5">
        <v>42326</v>
      </c>
      <c r="H7" s="4">
        <v>309.495361328125</v>
      </c>
      <c r="I7" s="5">
        <v>42333</v>
      </c>
      <c r="J7" s="4">
        <v>247.6171875</v>
      </c>
      <c r="K7" cm="1">
        <f t="array" ref="K7">ROWS(_xlfn.UNIQUE(_xlfn._xlws.FILTER('135 Raw Peak Audit'!$G$2:$G$136,('135 Raw Peak Audit'!$A$2:$A$136=$A7)*('135 Raw Peak Audit'!$G$2:$G$136&lt;&gt;""))))</f>
        <v>2</v>
      </c>
      <c r="L7" t="str" cm="1">
        <f t="array" ref="L7">_xlfn.TEXTJOIN("; ",TRUE,_xlfn.UNIQUE(_xlfn._xlws.FILTER('135 Raw Peak Audit'!$I$2:$I$136,('135 Raw Peak Audit'!$A$2:$A$136=$A7)*('135 Raw Peak Audit'!$I$2:$I$136&lt;&gt;""))))</f>
        <v>E03; E04</v>
      </c>
      <c r="M7" t="str" cm="1">
        <f t="array" ref="M7">_xlfn.TEXTJOIN("; ",TRUE,_xlfn.UNIQUE(_xlfn._xlws.FILTER('135 Raw Peak Audit'!$G$2:$G$136,('135 Raw Peak Audit'!$A$2:$A$136=$A7)*('135 Raw Peak Audit'!$G$2:$G$136&lt;&gt;""))))</f>
        <v>Paris attacks and the Saint-Denis anti-terror raid; Turkey shoots down a Russian military aircraft near the Syria border</v>
      </c>
    </row>
    <row r="8" spans="1:13" ht="28.8">
      <c r="A8" s="4" t="s">
        <v>25</v>
      </c>
      <c r="B8" s="5">
        <v>42893</v>
      </c>
      <c r="C8" s="5">
        <v>42874</v>
      </c>
      <c r="D8" s="5">
        <v>42901</v>
      </c>
      <c r="E8" s="5">
        <v>42893</v>
      </c>
      <c r="F8" s="4">
        <v>245.95683288574199</v>
      </c>
      <c r="G8" s="5">
        <v>42892</v>
      </c>
      <c r="H8" s="4">
        <v>227.27735900878901</v>
      </c>
      <c r="I8" s="5">
        <v>42881</v>
      </c>
      <c r="J8" s="4">
        <v>218.06872558593801</v>
      </c>
      <c r="K8" cm="1">
        <f t="array" ref="K8">ROWS(_xlfn.UNIQUE(_xlfn._xlws.FILTER('135 Raw Peak Audit'!$G$2:$G$136,('135 Raw Peak Audit'!$A$2:$A$136=$A8)*('135 Raw Peak Audit'!$G$2:$G$136&lt;&gt;""))))</f>
        <v>3</v>
      </c>
      <c r="L8" t="str" cm="1">
        <f t="array" ref="L8">_xlfn.TEXTJOIN("; ",TRUE,_xlfn.UNIQUE(_xlfn._xlws.FILTER('135 Raw Peak Audit'!$I$2:$I$136,('135 Raw Peak Audit'!$A$2:$A$136=$A8)*('135 Raw Peak Audit'!$I$2:$I$136&lt;&gt;""))))</f>
        <v>E08; E09; E37</v>
      </c>
      <c r="M8" t="str" cm="1">
        <f t="array" ref="M8">_xlfn.TEXTJOIN("; ",TRUE,_xlfn.UNIQUE(_xlfn._xlws.FILTER('135 Raw Peak Audit'!$G$2:$G$136,('135 Raw Peak Audit'!$A$2:$A$136=$A8)*('135 Raw Peak Audit'!$G$2:$G$136&lt;&gt;""))))</f>
        <v>Islamic State attacks on Iran's parliament and Khomeini shrine; Qatar diplomatic crisis begins as neighbouring states sever ties; Minya bus attack on Coptic Christians in Egypt</v>
      </c>
    </row>
    <row r="9" spans="1:13" ht="28.8">
      <c r="A9" s="4" t="s">
        <v>26</v>
      </c>
      <c r="B9" s="5">
        <v>43740</v>
      </c>
      <c r="C9" s="5">
        <v>43728</v>
      </c>
      <c r="D9" s="5">
        <v>43746</v>
      </c>
      <c r="E9" s="5">
        <v>43725</v>
      </c>
      <c r="F9" s="4">
        <v>253.34211730957</v>
      </c>
      <c r="G9" s="5">
        <v>43749</v>
      </c>
      <c r="H9" s="4">
        <v>204.31848144531199</v>
      </c>
      <c r="I9" s="5">
        <v>43754</v>
      </c>
      <c r="J9" s="4">
        <v>193.50186157226599</v>
      </c>
      <c r="K9" cm="1">
        <f t="array" ref="K9">ROWS(_xlfn.UNIQUE(_xlfn._xlws.FILTER('135 Raw Peak Audit'!$G$2:$G$136,('135 Raw Peak Audit'!$A$2:$A$136=$A9)*('135 Raw Peak Audit'!$G$2:$G$136&lt;&gt;""))))</f>
        <v>2</v>
      </c>
      <c r="L9" t="str" cm="1">
        <f t="array" ref="L9">_xlfn.TEXTJOIN("; ",TRUE,_xlfn.UNIQUE(_xlfn._xlws.FILTER('135 Raw Peak Audit'!$I$2:$I$136,('135 Raw Peak Audit'!$A$2:$A$136=$A9)*('135 Raw Peak Audit'!$I$2:$I$136&lt;&gt;""))))</f>
        <v>E10; E11</v>
      </c>
      <c r="M9" t="str" cm="1">
        <f t="array" ref="M9">_xlfn.TEXTJOIN("; ",TRUE,_xlfn.UNIQUE(_xlfn._xlws.FILTER('135 Raw Peak Audit'!$G$2:$G$136,('135 Raw Peak Audit'!$A$2:$A$136=$A9)*('135 Raw Peak Audit'!$G$2:$G$136&lt;&gt;""))))</f>
        <v>Attacks on Saudi Aramco facilities and accusations against Iran; Turkey's Operation Peace Spring offensive in north-eastern Syria</v>
      </c>
    </row>
    <row r="10" spans="1:13" ht="28.8">
      <c r="A10" s="4" t="s">
        <v>27</v>
      </c>
      <c r="B10" s="5">
        <v>45070</v>
      </c>
      <c r="C10" s="5">
        <v>45062</v>
      </c>
      <c r="D10" s="5">
        <v>45077</v>
      </c>
      <c r="E10" s="5">
        <v>45077</v>
      </c>
      <c r="F10" s="4">
        <v>219.58306884765599</v>
      </c>
      <c r="G10" s="5">
        <v>45069</v>
      </c>
      <c r="H10" s="4">
        <v>183.69136047363301</v>
      </c>
      <c r="I10" s="5">
        <v>45078</v>
      </c>
      <c r="J10" s="4">
        <v>182.39715576171901</v>
      </c>
      <c r="K10" cm="1">
        <f t="array" ref="K10">ROWS(_xlfn.UNIQUE(_xlfn._xlws.FILTER('135 Raw Peak Audit'!$G$2:$G$136,('135 Raw Peak Audit'!$A$2:$A$136=$A10)*('135 Raw Peak Audit'!$G$2:$G$136&lt;&gt;""))))</f>
        <v>1</v>
      </c>
      <c r="L10" t="str" cm="1">
        <f t="array" ref="L10">_xlfn.TEXTJOIN("; ",TRUE,_xlfn.UNIQUE(_xlfn._xlws.FILTER('135 Raw Peak Audit'!$I$2:$I$136,('135 Raw Peak Audit'!$A$2:$A$136=$A10)*('135 Raw Peak Audit'!$I$2:$I$136&lt;&gt;""))))</f>
        <v>E12</v>
      </c>
      <c r="M10" t="str" cm="1">
        <f t="array" ref="M10">_xlfn.TEXTJOIN("; ",TRUE,_xlfn.UNIQUE(_xlfn._xlws.FILTER('135 Raw Peak Audit'!$G$2:$G$136,('135 Raw Peak Audit'!$A$2:$A$136=$A10)*('135 Raw Peak Audit'!$G$2:$G$136&lt;&gt;""))))</f>
        <v>Belgorod cross-border raids by anti-Kremlin fighters</v>
      </c>
    </row>
    <row r="11" spans="1:13" ht="28.8">
      <c r="A11" s="4" t="s">
        <v>30</v>
      </c>
      <c r="B11" s="5">
        <v>46098</v>
      </c>
      <c r="C11" s="5">
        <v>46064</v>
      </c>
      <c r="D11" s="5">
        <v>46104</v>
      </c>
      <c r="E11" s="5">
        <v>46085</v>
      </c>
      <c r="F11" s="4">
        <v>465.91864013671898</v>
      </c>
      <c r="G11" s="5">
        <v>46091</v>
      </c>
      <c r="H11" s="4">
        <v>457.110595703125</v>
      </c>
      <c r="I11" s="5">
        <v>46112</v>
      </c>
      <c r="J11" s="4">
        <v>447.822265625</v>
      </c>
      <c r="K11" cm="1">
        <f t="array" ref="K11">ROWS(_xlfn.UNIQUE(_xlfn._xlws.FILTER('135 Raw Peak Audit'!$G$2:$G$136,('135 Raw Peak Audit'!$A$2:$A$136=$A11)*('135 Raw Peak Audit'!$G$2:$G$136&lt;&gt;""))))</f>
        <v>2</v>
      </c>
      <c r="L11" t="str" cm="1">
        <f t="array" ref="L11">_xlfn.TEXTJOIN("; ",TRUE,_xlfn.UNIQUE(_xlfn._xlws.FILTER('135 Raw Peak Audit'!$I$2:$I$136,('135 Raw Peak Audit'!$A$2:$A$136=$A11)*('135 Raw Peak Audit'!$I$2:$I$136&lt;&gt;""))))</f>
        <v>E07; E13</v>
      </c>
      <c r="M11" t="str" cm="1">
        <f t="array" ref="M11">_xlfn.TEXTJOIN("; ",TRUE,_xlfn.UNIQUE(_xlfn._xlws.FILTER('135 Raw Peak Audit'!$G$2:$G$136,('135 Raw Peak Audit'!$A$2:$A$136=$A11)*('135 Raw Peak Audit'!$G$2:$G$136&lt;&gt;""))))</f>
        <v>US–Israeli war with Iran and halt to oil/gas exports through the Strait of Hormuz; Tanker attack in Dubai amid the Iran war and Strait of Hormuz disruption</v>
      </c>
    </row>
    <row r="12" spans="1:13" ht="28.8">
      <c r="A12" s="4" t="s">
        <v>31</v>
      </c>
      <c r="B12" s="5">
        <v>44322</v>
      </c>
      <c r="C12" s="5">
        <v>44309</v>
      </c>
      <c r="D12" s="5">
        <v>44334</v>
      </c>
      <c r="E12" s="5">
        <v>44300</v>
      </c>
      <c r="F12" s="4">
        <v>186.30352783203099</v>
      </c>
      <c r="G12" s="5">
        <v>44342</v>
      </c>
      <c r="H12" s="4">
        <v>176.61283874511699</v>
      </c>
      <c r="I12" s="5">
        <v>44341</v>
      </c>
      <c r="J12" s="4">
        <v>170.94143676757801</v>
      </c>
      <c r="K12" cm="1">
        <f t="array" ref="K12">ROWS(_xlfn.UNIQUE(_xlfn._xlws.FILTER('135 Raw Peak Audit'!$G$2:$G$136,('135 Raw Peak Audit'!$A$2:$A$136=$A12)*('135 Raw Peak Audit'!$G$2:$G$136&lt;&gt;""))))</f>
        <v>2</v>
      </c>
      <c r="L12" t="str" cm="1">
        <f t="array" ref="L12">_xlfn.TEXTJOIN("; ",TRUE,_xlfn.UNIQUE(_xlfn._xlws.FILTER('135 Raw Peak Audit'!$I$2:$I$136,('135 Raw Peak Audit'!$A$2:$A$136=$A12)*('135 Raw Peak Audit'!$I$2:$I$136&lt;&gt;""))))</f>
        <v>E14; E05</v>
      </c>
      <c r="M12" t="str" cm="1">
        <f t="array" ref="M12">_xlfn.TEXTJOIN("; ",TRUE,_xlfn.UNIQUE(_xlfn._xlws.FILTER('135 Raw Peak Audit'!$G$2:$G$136,('135 Raw Peak Audit'!$A$2:$A$136=$A12)*('135 Raw Peak Audit'!$G$2:$G$136&lt;&gt;""))))</f>
        <v>President Biden announces withdrawal of US forces from Afghanistan; Israel–Gaza ceasefire and post-conflict reconstruction commitments</v>
      </c>
    </row>
    <row r="13" spans="1:13" ht="28.8">
      <c r="A13" s="4" t="s">
        <v>32</v>
      </c>
      <c r="B13" s="5">
        <v>44348</v>
      </c>
      <c r="C13" s="5">
        <v>44334</v>
      </c>
      <c r="D13" s="5">
        <v>44369</v>
      </c>
      <c r="E13" s="5">
        <v>44342</v>
      </c>
      <c r="F13" s="4">
        <v>176.61283874511699</v>
      </c>
      <c r="G13" s="5">
        <v>44341</v>
      </c>
      <c r="H13" s="4">
        <v>170.94143676757801</v>
      </c>
      <c r="I13" s="5">
        <v>44369</v>
      </c>
      <c r="J13" s="4">
        <v>170.60433959960901</v>
      </c>
      <c r="K13" cm="1">
        <f t="array" ref="K13">ROWS(_xlfn.UNIQUE(_xlfn._xlws.FILTER('135 Raw Peak Audit'!$G$2:$G$136,('135 Raw Peak Audit'!$A$2:$A$136=$A13)*('135 Raw Peak Audit'!$G$2:$G$136&lt;&gt;""))))</f>
        <v>1</v>
      </c>
      <c r="L13" t="str" cm="1">
        <f t="array" ref="L13">_xlfn.TEXTJOIN("; ",TRUE,_xlfn.UNIQUE(_xlfn._xlws.FILTER('135 Raw Peak Audit'!$I$2:$I$136,('135 Raw Peak Audit'!$A$2:$A$136=$A13)*('135 Raw Peak Audit'!$I$2:$I$136&lt;&gt;""))))</f>
        <v>E05</v>
      </c>
      <c r="M13" t="str" cm="1">
        <f t="array" ref="M13">_xlfn.TEXTJOIN("; ",TRUE,_xlfn.UNIQUE(_xlfn._xlws.FILTER('135 Raw Peak Audit'!$G$2:$G$136,('135 Raw Peak Audit'!$A$2:$A$136=$A13)*('135 Raw Peak Audit'!$G$2:$G$136&lt;&gt;""))))</f>
        <v>Israel–Gaza ceasefire and post-conflict reconstruction commitments</v>
      </c>
    </row>
    <row r="14" spans="1:13" ht="28.8">
      <c r="A14" s="4" t="s">
        <v>33</v>
      </c>
      <c r="B14" s="5">
        <v>45226</v>
      </c>
      <c r="C14" s="5">
        <v>45215</v>
      </c>
      <c r="D14" s="5">
        <v>45251</v>
      </c>
      <c r="E14" s="5">
        <v>45218</v>
      </c>
      <c r="F14" s="4">
        <v>338.85171508789102</v>
      </c>
      <c r="G14" s="5">
        <v>45217</v>
      </c>
      <c r="H14" s="4">
        <v>333.00942993164102</v>
      </c>
      <c r="I14" s="5">
        <v>45219</v>
      </c>
      <c r="J14" s="4">
        <v>298.62881469726602</v>
      </c>
      <c r="K14" cm="1">
        <f t="array" ref="K14">ROWS(_xlfn.UNIQUE(_xlfn._xlws.FILTER('135 Raw Peak Audit'!$G$2:$G$136,('135 Raw Peak Audit'!$A$2:$A$136=$A14)*('135 Raw Peak Audit'!$G$2:$G$136&lt;&gt;""))))</f>
        <v>1</v>
      </c>
      <c r="L14" t="str" cm="1">
        <f t="array" ref="L14">_xlfn.TEXTJOIN("; ",TRUE,_xlfn.UNIQUE(_xlfn._xlws.FILTER('135 Raw Peak Audit'!$I$2:$I$136,('135 Raw Peak Audit'!$A$2:$A$136=$A14)*('135 Raw Peak Audit'!$I$2:$I$136&lt;&gt;""))))</f>
        <v>E15</v>
      </c>
      <c r="M14" t="str" cm="1">
        <f t="array" ref="M14">_xlfn.TEXTJOIN("; ",TRUE,_xlfn.UNIQUE(_xlfn._xlws.FILTER('135 Raw Peak Audit'!$G$2:$G$136,('135 Raw Peak Audit'!$A$2:$A$136=$A14)*('135 Raw Peak Audit'!$G$2:$G$136&lt;&gt;""))))</f>
        <v>Hamas-led attacks on Israel and the start of the Gaza war</v>
      </c>
    </row>
    <row r="15" spans="1:13" ht="28.8">
      <c r="A15" s="4" t="s">
        <v>36</v>
      </c>
      <c r="B15" s="5">
        <v>45813</v>
      </c>
      <c r="C15" s="5">
        <v>45805</v>
      </c>
      <c r="D15" s="5">
        <v>45821</v>
      </c>
      <c r="E15" s="5">
        <v>45832</v>
      </c>
      <c r="F15" s="4">
        <v>351.72052001953102</v>
      </c>
      <c r="G15" s="5">
        <v>45833</v>
      </c>
      <c r="H15" s="4">
        <v>328.47311401367199</v>
      </c>
      <c r="I15" s="5">
        <v>45826</v>
      </c>
      <c r="J15" s="4">
        <v>320.77005004882801</v>
      </c>
      <c r="K15" cm="1">
        <f t="array" ref="K15">ROWS(_xlfn.UNIQUE(_xlfn._xlws.FILTER('135 Raw Peak Audit'!$G$2:$G$136,('135 Raw Peak Audit'!$A$2:$A$136=$A15)*('135 Raw Peak Audit'!$G$2:$G$136&lt;&gt;""))))</f>
        <v>1</v>
      </c>
      <c r="L15" t="str" cm="1">
        <f t="array" ref="L15">_xlfn.TEXTJOIN("; ",TRUE,_xlfn.UNIQUE(_xlfn._xlws.FILTER('135 Raw Peak Audit'!$I$2:$I$136,('135 Raw Peak Audit'!$A$2:$A$136=$A15)*('135 Raw Peak Audit'!$I$2:$I$136&lt;&gt;""))))</f>
        <v>E16</v>
      </c>
      <c r="M15" t="str" cm="1">
        <f t="array" ref="M15">_xlfn.TEXTJOIN("; ",TRUE,_xlfn.UNIQUE(_xlfn._xlws.FILTER('135 Raw Peak Audit'!$G$2:$G$136,('135 Raw Peak Audit'!$A$2:$A$136=$A15)*('135 Raw Peak Audit'!$G$2:$G$136&lt;&gt;""))))</f>
        <v>Israel–Iran war, US intervention and June ceasefire</v>
      </c>
    </row>
    <row r="16" spans="1:13" ht="28.8">
      <c r="A16" s="4" t="s">
        <v>39</v>
      </c>
      <c r="B16" s="5">
        <v>46105</v>
      </c>
      <c r="C16" s="5">
        <v>46057</v>
      </c>
      <c r="D16" s="5">
        <v>46155</v>
      </c>
      <c r="E16" s="5">
        <v>46085</v>
      </c>
      <c r="F16" s="4">
        <v>465.91864013671898</v>
      </c>
      <c r="G16" s="5">
        <v>46091</v>
      </c>
      <c r="H16" s="4">
        <v>457.110595703125</v>
      </c>
      <c r="I16" s="5">
        <v>46112</v>
      </c>
      <c r="J16" s="4">
        <v>447.822265625</v>
      </c>
      <c r="K16" cm="1">
        <f t="array" ref="K16">ROWS(_xlfn.UNIQUE(_xlfn._xlws.FILTER('135 Raw Peak Audit'!$G$2:$G$136,('135 Raw Peak Audit'!$A$2:$A$136=$A16)*('135 Raw Peak Audit'!$G$2:$G$136&lt;&gt;""))))</f>
        <v>2</v>
      </c>
      <c r="L16" t="str" cm="1">
        <f t="array" ref="L16">_xlfn.TEXTJOIN("; ",TRUE,_xlfn.UNIQUE(_xlfn._xlws.FILTER('135 Raw Peak Audit'!$I$2:$I$136,('135 Raw Peak Audit'!$A$2:$A$136=$A16)*('135 Raw Peak Audit'!$I$2:$I$136&lt;&gt;""))))</f>
        <v>E07; E13</v>
      </c>
      <c r="M16" t="str" cm="1">
        <f t="array" ref="M16">_xlfn.TEXTJOIN("; ",TRUE,_xlfn.UNIQUE(_xlfn._xlws.FILTER('135 Raw Peak Audit'!$G$2:$G$136,('135 Raw Peak Audit'!$A$2:$A$136=$A16)*('135 Raw Peak Audit'!$G$2:$G$136&lt;&gt;""))))</f>
        <v>US–Israeli war with Iran and halt to oil/gas exports through the Strait of Hormuz; Tanker attack in Dubai amid the Iran war and Strait of Hormuz disruption</v>
      </c>
    </row>
    <row r="17" spans="1:13" ht="28.8">
      <c r="A17" s="4" t="s">
        <v>40</v>
      </c>
      <c r="B17" s="5">
        <v>42331</v>
      </c>
      <c r="C17" s="5">
        <v>42313</v>
      </c>
      <c r="D17" s="5">
        <v>42338</v>
      </c>
      <c r="E17" s="5">
        <v>42325</v>
      </c>
      <c r="F17" s="4">
        <v>551.20111083984398</v>
      </c>
      <c r="G17" s="5">
        <v>42326</v>
      </c>
      <c r="H17" s="4">
        <v>520.66583251953102</v>
      </c>
      <c r="I17" s="5">
        <v>42333</v>
      </c>
      <c r="J17" s="4">
        <v>394.968017578125</v>
      </c>
      <c r="K17" cm="1">
        <f t="array" ref="K17">ROWS(_xlfn.UNIQUE(_xlfn._xlws.FILTER('135 Raw Peak Audit'!$G$2:$G$136,('135 Raw Peak Audit'!$A$2:$A$136=$A17)*('135 Raw Peak Audit'!$G$2:$G$136&lt;&gt;""))))</f>
        <v>2</v>
      </c>
      <c r="L17" t="str" cm="1">
        <f t="array" ref="L17">_xlfn.TEXTJOIN("; ",TRUE,_xlfn.UNIQUE(_xlfn._xlws.FILTER('135 Raw Peak Audit'!$I$2:$I$136,('135 Raw Peak Audit'!$A$2:$A$136=$A17)*('135 Raw Peak Audit'!$I$2:$I$136&lt;&gt;""))))</f>
        <v>E03; E04</v>
      </c>
      <c r="M17" t="str" cm="1">
        <f t="array" ref="M17">_xlfn.TEXTJOIN("; ",TRUE,_xlfn.UNIQUE(_xlfn._xlws.FILTER('135 Raw Peak Audit'!$G$2:$G$136,('135 Raw Peak Audit'!$A$2:$A$136=$A17)*('135 Raw Peak Audit'!$G$2:$G$136&lt;&gt;""))))</f>
        <v>Paris attacks and the Saint-Denis anti-terror raid; Turkey shoots down a Russian military aircraft near the Syria border</v>
      </c>
    </row>
    <row r="18" spans="1:13" ht="28.8">
      <c r="A18" s="4" t="s">
        <v>41</v>
      </c>
      <c r="B18" s="5">
        <v>43836</v>
      </c>
      <c r="C18" s="5">
        <v>43823</v>
      </c>
      <c r="D18" s="5">
        <v>43857</v>
      </c>
      <c r="E18" s="5">
        <v>43839</v>
      </c>
      <c r="F18" s="4">
        <v>339.62139892578102</v>
      </c>
      <c r="G18" s="5">
        <v>43836</v>
      </c>
      <c r="H18" s="4">
        <v>191.86993662516301</v>
      </c>
      <c r="I18" s="5">
        <v>43840</v>
      </c>
      <c r="J18" s="4">
        <v>166.78642272949199</v>
      </c>
      <c r="K18" cm="1">
        <f t="array" ref="K18">ROWS(_xlfn.UNIQUE(_xlfn._xlws.FILTER('135 Raw Peak Audit'!$G$2:$G$136,('135 Raw Peak Audit'!$A$2:$A$136=$A18)*('135 Raw Peak Audit'!$G$2:$G$136&lt;&gt;""))))</f>
        <v>2</v>
      </c>
      <c r="L18" t="str" cm="1">
        <f t="array" ref="L18">_xlfn.TEXTJOIN("; ",TRUE,_xlfn.UNIQUE(_xlfn._xlws.FILTER('135 Raw Peak Audit'!$I$2:$I$136,('135 Raw Peak Audit'!$A$2:$A$136=$A18)*('135 Raw Peak Audit'!$I$2:$I$136&lt;&gt;""))))</f>
        <v>E17; E18</v>
      </c>
      <c r="M18" t="str" cm="1">
        <f t="array" ref="M18">_xlfn.TEXTJOIN("; ",TRUE,_xlfn.UNIQUE(_xlfn._xlws.FILTER('135 Raw Peak Audit'!$G$2:$G$136,('135 Raw Peak Audit'!$A$2:$A$136=$A18)*('135 Raw Peak Audit'!$G$2:$G$136&lt;&gt;""))))</f>
        <v>Iran's accidental downing of Ukraine International Airlines Flight PS752; US killing of Iranian general Qassem Soleimani</v>
      </c>
    </row>
    <row r="19" spans="1:13" ht="28.8">
      <c r="A19" s="4" t="s">
        <v>42</v>
      </c>
      <c r="B19" s="5">
        <v>44336</v>
      </c>
      <c r="C19" s="5">
        <v>44321</v>
      </c>
      <c r="D19" s="5">
        <v>44348</v>
      </c>
      <c r="E19" s="5">
        <v>44329</v>
      </c>
      <c r="F19" s="4">
        <v>131.76544189453099</v>
      </c>
      <c r="G19" s="5">
        <v>44337</v>
      </c>
      <c r="H19" s="4">
        <v>125.12368011474599</v>
      </c>
      <c r="I19" s="5">
        <v>44334</v>
      </c>
      <c r="J19" s="4">
        <v>108.11334991455099</v>
      </c>
      <c r="K19" cm="1">
        <f t="array" ref="K19">ROWS(_xlfn.UNIQUE(_xlfn._xlws.FILTER('135 Raw Peak Audit'!$G$2:$G$136,('135 Raw Peak Audit'!$A$2:$A$136=$A19)*('135 Raw Peak Audit'!$G$2:$G$136&lt;&gt;""))))</f>
        <v>2</v>
      </c>
      <c r="L19" t="str" cm="1">
        <f t="array" ref="L19">_xlfn.TEXTJOIN("; ",TRUE,_xlfn.UNIQUE(_xlfn._xlws.FILTER('135 Raw Peak Audit'!$I$2:$I$136,('135 Raw Peak Audit'!$A$2:$A$136=$A19)*('135 Raw Peak Audit'!$I$2:$I$136&lt;&gt;""))))</f>
        <v>E19; E05</v>
      </c>
      <c r="M19" t="str" cm="1">
        <f t="array" ref="M19">_xlfn.TEXTJOIN("; ",TRUE,_xlfn.UNIQUE(_xlfn._xlws.FILTER('135 Raw Peak Audit'!$G$2:$G$136,('135 Raw Peak Audit'!$A$2:$A$136=$A19)*('135 Raw Peak Audit'!$G$2:$G$136&lt;&gt;""))))</f>
        <v>May 2021 escalation of hostilities between Israel and Gaza; Israel–Gaza ceasefire and post-conflict reconstruction commitments</v>
      </c>
    </row>
    <row r="20" spans="1:13" ht="28.8">
      <c r="A20" s="4" t="s">
        <v>43</v>
      </c>
      <c r="B20" s="5">
        <v>45729</v>
      </c>
      <c r="C20" s="5">
        <v>45722</v>
      </c>
      <c r="D20" s="5">
        <v>45748</v>
      </c>
      <c r="E20" s="5">
        <v>45734</v>
      </c>
      <c r="F20" s="4">
        <v>271.26623535156199</v>
      </c>
      <c r="G20" s="5">
        <v>45735</v>
      </c>
      <c r="H20" s="4">
        <v>251.39157104492199</v>
      </c>
      <c r="I20" s="5">
        <v>45728</v>
      </c>
      <c r="J20" s="4">
        <v>234.28985595703099</v>
      </c>
      <c r="K20" cm="1">
        <f t="array" ref="K20">ROWS(_xlfn.UNIQUE(_xlfn._xlws.FILTER('135 Raw Peak Audit'!$G$2:$G$136,('135 Raw Peak Audit'!$A$2:$A$136=$A20)*('135 Raw Peak Audit'!$G$2:$G$136&lt;&gt;""))))</f>
        <v>1</v>
      </c>
      <c r="L20" t="str" cm="1">
        <f t="array" ref="L20">_xlfn.TEXTJOIN("; ",TRUE,_xlfn.UNIQUE(_xlfn._xlws.FILTER('135 Raw Peak Audit'!$I$2:$I$136,('135 Raw Peak Audit'!$A$2:$A$136=$A20)*('135 Raw Peak Audit'!$I$2:$I$136&lt;&gt;""))))</f>
        <v>E06</v>
      </c>
      <c r="M20" t="str" cm="1">
        <f t="array" ref="M20">_xlfn.TEXTJOIN("; ",TRUE,_xlfn.UNIQUE(_xlfn._xlws.FILTER('135 Raw Peak Audit'!$G$2:$G$136,('135 Raw Peak Audit'!$A$2:$A$136=$A20)*('135 Raw Peak Audit'!$G$2:$G$136&lt;&gt;""))))</f>
        <v>Ukraine ceasefire diplomacy and Putin's response/conditions</v>
      </c>
    </row>
    <row r="21" spans="1:13" ht="28.8">
      <c r="A21" s="4" t="s">
        <v>44</v>
      </c>
      <c r="B21" s="5">
        <v>45832</v>
      </c>
      <c r="C21" s="5">
        <v>45819</v>
      </c>
      <c r="D21" s="5">
        <v>45841</v>
      </c>
      <c r="E21" s="5">
        <v>45831</v>
      </c>
      <c r="F21" s="4">
        <v>352.00847880045598</v>
      </c>
      <c r="G21" s="5">
        <v>45828</v>
      </c>
      <c r="H21" s="4">
        <v>345.27322387695301</v>
      </c>
      <c r="I21" s="5">
        <v>45832</v>
      </c>
      <c r="J21" s="4">
        <v>318.76171875</v>
      </c>
      <c r="K21" cm="1">
        <f t="array" ref="K21">ROWS(_xlfn.UNIQUE(_xlfn._xlws.FILTER('135 Raw Peak Audit'!$G$2:$G$136,('135 Raw Peak Audit'!$A$2:$A$136=$A21)*('135 Raw Peak Audit'!$G$2:$G$136&lt;&gt;""))))</f>
        <v>1</v>
      </c>
      <c r="L21" t="str" cm="1">
        <f t="array" ref="L21">_xlfn.TEXTJOIN("; ",TRUE,_xlfn.UNIQUE(_xlfn._xlws.FILTER('135 Raw Peak Audit'!$I$2:$I$136,('135 Raw Peak Audit'!$A$2:$A$136=$A21)*('135 Raw Peak Audit'!$I$2:$I$136&lt;&gt;""))))</f>
        <v>E16</v>
      </c>
      <c r="M21" t="str" cm="1">
        <f t="array" ref="M21">_xlfn.TEXTJOIN("; ",TRUE,_xlfn.UNIQUE(_xlfn._xlws.FILTER('135 Raw Peak Audit'!$G$2:$G$136,('135 Raw Peak Audit'!$A$2:$A$136=$A21)*('135 Raw Peak Audit'!$G$2:$G$136&lt;&gt;""))))</f>
        <v>Israel–Iran war, US intervention and June ceasefire</v>
      </c>
    </row>
    <row r="22" spans="1:13" ht="28.8">
      <c r="A22" s="4" t="s">
        <v>45</v>
      </c>
      <c r="B22" s="5">
        <v>42338</v>
      </c>
      <c r="C22" s="5">
        <v>42306</v>
      </c>
      <c r="D22" s="5">
        <v>42374</v>
      </c>
      <c r="E22" s="5">
        <v>42325</v>
      </c>
      <c r="F22" s="4">
        <v>551.20111083984398</v>
      </c>
      <c r="G22" s="5">
        <v>42326</v>
      </c>
      <c r="H22" s="4">
        <v>520.66583251953102</v>
      </c>
      <c r="I22" s="5">
        <v>42333</v>
      </c>
      <c r="J22" s="4">
        <v>394.968017578125</v>
      </c>
      <c r="K22" cm="1">
        <f t="array" ref="K22">ROWS(_xlfn.UNIQUE(_xlfn._xlws.FILTER('135 Raw Peak Audit'!$G$2:$G$136,('135 Raw Peak Audit'!$A$2:$A$136=$A22)*('135 Raw Peak Audit'!$G$2:$G$136&lt;&gt;""))))</f>
        <v>2</v>
      </c>
      <c r="L22" t="str" cm="1">
        <f t="array" ref="L22">_xlfn.TEXTJOIN("; ",TRUE,_xlfn.UNIQUE(_xlfn._xlws.FILTER('135 Raw Peak Audit'!$I$2:$I$136,('135 Raw Peak Audit'!$A$2:$A$136=$A22)*('135 Raw Peak Audit'!$I$2:$I$136&lt;&gt;""))))</f>
        <v>E03; E04</v>
      </c>
      <c r="M22" t="str" cm="1">
        <f t="array" ref="M22">_xlfn.TEXTJOIN("; ",TRUE,_xlfn.UNIQUE(_xlfn._xlws.FILTER('135 Raw Peak Audit'!$G$2:$G$136,('135 Raw Peak Audit'!$A$2:$A$136=$A22)*('135 Raw Peak Audit'!$G$2:$G$136&lt;&gt;""))))</f>
        <v>Paris attacks and the Saint-Denis anti-terror raid; Turkey shoots down a Russian military aircraft near the Syria border</v>
      </c>
    </row>
    <row r="23" spans="1:13" ht="28.8">
      <c r="A23" s="4" t="s">
        <v>46</v>
      </c>
      <c r="B23" s="5">
        <v>42717</v>
      </c>
      <c r="C23" s="5">
        <v>42706</v>
      </c>
      <c r="D23" s="5">
        <v>42723</v>
      </c>
      <c r="E23" s="5">
        <v>42725</v>
      </c>
      <c r="F23" s="4">
        <v>311.33465576171898</v>
      </c>
      <c r="G23" s="5">
        <v>42734</v>
      </c>
      <c r="H23" s="4">
        <v>247.23635864257801</v>
      </c>
      <c r="I23" s="5">
        <v>42727</v>
      </c>
      <c r="J23" s="4">
        <v>246.60563659668</v>
      </c>
      <c r="K23" cm="1">
        <f t="array" ref="K23">ROWS(_xlfn.UNIQUE(_xlfn._xlws.FILTER('135 Raw Peak Audit'!$G$2:$G$136,('135 Raw Peak Audit'!$A$2:$A$136=$A23)*('135 Raw Peak Audit'!$G$2:$G$136&lt;&gt;""))))</f>
        <v>2</v>
      </c>
      <c r="L23" t="str" cm="1">
        <f t="array" ref="L23">_xlfn.TEXTJOIN("; ",TRUE,_xlfn.UNIQUE(_xlfn._xlws.FILTER('135 Raw Peak Audit'!$I$2:$I$136,('135 Raw Peak Audit'!$A$2:$A$136=$A23)*('135 Raw Peak Audit'!$I$2:$I$136&lt;&gt;""))))</f>
        <v>E38; E20</v>
      </c>
      <c r="M23" t="str" cm="1">
        <f t="array" ref="M23">_xlfn.TEXTJOIN("; ",TRUE,_xlfn.UNIQUE(_xlfn._xlws.FILTER('135 Raw Peak Audit'!$G$2:$G$136,('135 Raw Peak Audit'!$A$2:$A$136=$A23)*('135 Raw Peak Audit'!$G$2:$G$136&lt;&gt;""))))</f>
        <v>Berlin Christmas market attack and manhunt for Anis Amri; Battle of Aleppo and December Syria ceasefire</v>
      </c>
    </row>
    <row r="24" spans="1:13" ht="28.8">
      <c r="A24" s="4" t="s">
        <v>49</v>
      </c>
      <c r="B24" s="5">
        <v>42893</v>
      </c>
      <c r="C24" s="5">
        <v>42874</v>
      </c>
      <c r="D24" s="5">
        <v>42915</v>
      </c>
      <c r="E24" s="5">
        <v>42892</v>
      </c>
      <c r="F24" s="4">
        <v>339.86666870117199</v>
      </c>
      <c r="G24" s="5">
        <v>42893</v>
      </c>
      <c r="H24" s="4">
        <v>333.88903808593801</v>
      </c>
      <c r="I24" s="5">
        <v>42881</v>
      </c>
      <c r="J24" s="4">
        <v>289.86331176757801</v>
      </c>
      <c r="K24" cm="1">
        <f t="array" ref="K24">ROWS(_xlfn.UNIQUE(_xlfn._xlws.FILTER('135 Raw Peak Audit'!$G$2:$G$136,('135 Raw Peak Audit'!$A$2:$A$136=$A24)*('135 Raw Peak Audit'!$G$2:$G$136&lt;&gt;""))))</f>
        <v>3</v>
      </c>
      <c r="L24" t="str" cm="1">
        <f t="array" ref="L24">_xlfn.TEXTJOIN("; ",TRUE,_xlfn.UNIQUE(_xlfn._xlws.FILTER('135 Raw Peak Audit'!$I$2:$I$136,('135 Raw Peak Audit'!$A$2:$A$136=$A24)*('135 Raw Peak Audit'!$I$2:$I$136&lt;&gt;""))))</f>
        <v>E09; E08; E37</v>
      </c>
      <c r="M24" t="str" cm="1">
        <f t="array" ref="M24">_xlfn.TEXTJOIN("; ",TRUE,_xlfn.UNIQUE(_xlfn._xlws.FILTER('135 Raw Peak Audit'!$G$2:$G$136,('135 Raw Peak Audit'!$A$2:$A$136=$A24)*('135 Raw Peak Audit'!$G$2:$G$136&lt;&gt;""))))</f>
        <v>Qatar diplomatic crisis begins as neighbouring states sever ties; Islamic State attacks on Iran's parliament and Khomeini shrine; Minya bus attack on Coptic Christians in Egypt</v>
      </c>
    </row>
    <row r="25" spans="1:13" ht="28.8">
      <c r="A25" s="4" t="s">
        <v>50</v>
      </c>
      <c r="B25" s="5">
        <v>45722</v>
      </c>
      <c r="C25" s="5">
        <v>45707</v>
      </c>
      <c r="D25" s="5">
        <v>45733</v>
      </c>
      <c r="E25" s="5">
        <v>45708</v>
      </c>
      <c r="F25" s="4">
        <v>336.85391235351602</v>
      </c>
      <c r="G25" s="5">
        <v>45734</v>
      </c>
      <c r="H25" s="4">
        <v>271.26623535156199</v>
      </c>
      <c r="I25" s="5">
        <v>45735</v>
      </c>
      <c r="J25" s="4">
        <v>251.39157104492199</v>
      </c>
      <c r="K25" cm="1">
        <f t="array" ref="K25">ROWS(_xlfn.UNIQUE(_xlfn._xlws.FILTER('135 Raw Peak Audit'!$G$2:$G$136,('135 Raw Peak Audit'!$A$2:$A$136=$A25)*('135 Raw Peak Audit'!$G$2:$G$136&lt;&gt;""))))</f>
        <v>2</v>
      </c>
      <c r="L25" t="str" cm="1">
        <f t="array" ref="L25">_xlfn.TEXTJOIN("; ",TRUE,_xlfn.UNIQUE(_xlfn._xlws.FILTER('135 Raw Peak Audit'!$I$2:$I$136,('135 Raw Peak Audit'!$A$2:$A$136=$A25)*('135 Raw Peak Audit'!$I$2:$I$136&lt;&gt;""))))</f>
        <v>E21; E06</v>
      </c>
      <c r="M25" t="str" cm="1">
        <f t="array" ref="M25">_xlfn.TEXTJOIN("; ",TRUE,_xlfn.UNIQUE(_xlfn._xlws.FILTER('135 Raw Peak Audit'!$G$2:$G$136,('135 Raw Peak Audit'!$A$2:$A$136=$A25)*('135 Raw Peak Audit'!$G$2:$G$136&lt;&gt;""))))</f>
        <v>Trump–Zelensky dispute and public blame over the war in Ukraine; Ukraine ceasefire diplomacy and Putin's response/conditions</v>
      </c>
    </row>
    <row r="26" spans="1:13" ht="28.8">
      <c r="A26" s="4" t="s">
        <v>51</v>
      </c>
      <c r="B26" s="5">
        <v>46098</v>
      </c>
      <c r="C26" s="5">
        <v>46065</v>
      </c>
      <c r="D26" s="5">
        <v>46101</v>
      </c>
      <c r="E26" s="5">
        <v>46091</v>
      </c>
      <c r="F26" s="4">
        <v>627.33221435546898</v>
      </c>
      <c r="G26" s="5">
        <v>46085</v>
      </c>
      <c r="H26" s="4">
        <v>611.76007080078102</v>
      </c>
      <c r="I26" s="5">
        <v>46112</v>
      </c>
      <c r="J26" s="4">
        <v>590.88153076171898</v>
      </c>
      <c r="K26" cm="1">
        <f t="array" ref="K26">ROWS(_xlfn.UNIQUE(_xlfn._xlws.FILTER('135 Raw Peak Audit'!$G$2:$G$136,('135 Raw Peak Audit'!$A$2:$A$136=$A26)*('135 Raw Peak Audit'!$G$2:$G$136&lt;&gt;""))))</f>
        <v>2</v>
      </c>
      <c r="L26" t="str" cm="1">
        <f t="array" ref="L26">_xlfn.TEXTJOIN("; ",TRUE,_xlfn.UNIQUE(_xlfn._xlws.FILTER('135 Raw Peak Audit'!$I$2:$I$136,('135 Raw Peak Audit'!$A$2:$A$136=$A26)*('135 Raw Peak Audit'!$I$2:$I$136&lt;&gt;""))))</f>
        <v>E07; E13</v>
      </c>
      <c r="M26" t="str" cm="1">
        <f t="array" ref="M26">_xlfn.TEXTJOIN("; ",TRUE,_xlfn.UNIQUE(_xlfn._xlws.FILTER('135 Raw Peak Audit'!$G$2:$G$136,('135 Raw Peak Audit'!$A$2:$A$136=$A26)*('135 Raw Peak Audit'!$G$2:$G$136&lt;&gt;""))))</f>
        <v>US–Israeli war with Iran and halt to oil/gas exports through the Strait of Hormuz; Tanker attack in Dubai amid the Iran war and Strait of Hormuz disruption</v>
      </c>
    </row>
    <row r="27" spans="1:13" ht="28.8">
      <c r="A27" s="4" t="s">
        <v>52</v>
      </c>
      <c r="B27" s="5">
        <v>42033</v>
      </c>
      <c r="C27" s="5">
        <v>42024</v>
      </c>
      <c r="D27" s="5">
        <v>42061</v>
      </c>
      <c r="E27" s="5">
        <v>42017</v>
      </c>
      <c r="F27" s="4">
        <v>259.009521484375</v>
      </c>
      <c r="G27" s="5">
        <v>42020</v>
      </c>
      <c r="H27" s="4">
        <v>258.11636352539102</v>
      </c>
      <c r="I27" s="5">
        <v>42019</v>
      </c>
      <c r="J27" s="4">
        <v>257.60641479492199</v>
      </c>
      <c r="K27" cm="1">
        <f t="array" ref="K27">ROWS(_xlfn.UNIQUE(_xlfn._xlws.FILTER('135 Raw Peak Audit'!$G$2:$G$136,('135 Raw Peak Audit'!$A$2:$A$136=$A27)*('135 Raw Peak Audit'!$G$2:$G$136&lt;&gt;""))))</f>
        <v>2</v>
      </c>
      <c r="L27" t="str" cm="1">
        <f t="array" ref="L27">_xlfn.TEXTJOIN("; ",TRUE,_xlfn.UNIQUE(_xlfn._xlws.FILTER('135 Raw Peak Audit'!$I$2:$I$136,('135 Raw Peak Audit'!$A$2:$A$136=$A27)*('135 Raw Peak Audit'!$I$2:$I$136&lt;&gt;""))))</f>
        <v>E22; E23</v>
      </c>
      <c r="M27" t="str" cm="1">
        <f t="array" ref="M27">_xlfn.TEXTJOIN("; ",TRUE,_xlfn.UNIQUE(_xlfn._xlws.FILTER('135 Raw Peak Audit'!$G$2:$G$136,('135 Raw Peak Audit'!$A$2:$A$136=$A27)*('135 Raw Peak Audit'!$G$2:$G$136&lt;&gt;""))))</f>
        <v>Volnovakha bus shelling in eastern Ukraine; Fighting and the fall of Donetsk airport during the Donbas conflict</v>
      </c>
    </row>
    <row r="28" spans="1:13" ht="28.8">
      <c r="A28" s="4" t="s">
        <v>53</v>
      </c>
      <c r="B28" s="5">
        <v>42345</v>
      </c>
      <c r="C28" s="5">
        <v>42339</v>
      </c>
      <c r="D28" s="5">
        <v>42360</v>
      </c>
      <c r="E28" s="5">
        <v>42325</v>
      </c>
      <c r="F28" s="4">
        <v>551.20111083984398</v>
      </c>
      <c r="G28" s="5">
        <v>42326</v>
      </c>
      <c r="H28" s="4">
        <v>520.66583251953102</v>
      </c>
      <c r="I28" s="5">
        <v>42333</v>
      </c>
      <c r="J28" s="4">
        <v>394.968017578125</v>
      </c>
      <c r="K28" cm="1">
        <f t="array" ref="K28">ROWS(_xlfn.UNIQUE(_xlfn._xlws.FILTER('135 Raw Peak Audit'!$G$2:$G$136,('135 Raw Peak Audit'!$A$2:$A$136=$A28)*('135 Raw Peak Audit'!$G$2:$G$136&lt;&gt;""))))</f>
        <v>2</v>
      </c>
      <c r="L28" t="str" cm="1">
        <f t="array" ref="L28">_xlfn.TEXTJOIN("; ",TRUE,_xlfn.UNIQUE(_xlfn._xlws.FILTER('135 Raw Peak Audit'!$I$2:$I$136,('135 Raw Peak Audit'!$A$2:$A$136=$A28)*('135 Raw Peak Audit'!$I$2:$I$136&lt;&gt;""))))</f>
        <v>E03; E04</v>
      </c>
      <c r="M28" t="str" cm="1">
        <f t="array" ref="M28">_xlfn.TEXTJOIN("; ",TRUE,_xlfn.UNIQUE(_xlfn._xlws.FILTER('135 Raw Peak Audit'!$G$2:$G$136,('135 Raw Peak Audit'!$A$2:$A$136=$A28)*('135 Raw Peak Audit'!$G$2:$G$136&lt;&gt;""))))</f>
        <v>Paris attacks and the Saint-Denis anti-terror raid; Turkey shoots down a Russian military aircraft near the Syria border</v>
      </c>
    </row>
    <row r="29" spans="1:13" ht="28.8">
      <c r="A29" s="4" t="s">
        <v>54</v>
      </c>
      <c r="B29" s="5">
        <v>42748</v>
      </c>
      <c r="C29" s="5">
        <v>42739</v>
      </c>
      <c r="D29" s="5">
        <v>42754</v>
      </c>
      <c r="E29" s="5">
        <v>42725</v>
      </c>
      <c r="F29" s="4">
        <v>311.33465576171898</v>
      </c>
      <c r="G29" s="5">
        <v>42734</v>
      </c>
      <c r="H29" s="4">
        <v>247.23635864257801</v>
      </c>
      <c r="I29" s="5">
        <v>42727</v>
      </c>
      <c r="J29" s="4">
        <v>246.60563659668</v>
      </c>
      <c r="K29" cm="1">
        <f t="array" ref="K29">ROWS(_xlfn.UNIQUE(_xlfn._xlws.FILTER('135 Raw Peak Audit'!$G$2:$G$136,('135 Raw Peak Audit'!$A$2:$A$136=$A29)*('135 Raw Peak Audit'!$G$2:$G$136&lt;&gt;""))))</f>
        <v>2</v>
      </c>
      <c r="L29" t="str" cm="1">
        <f t="array" ref="L29">_xlfn.TEXTJOIN("; ",TRUE,_xlfn.UNIQUE(_xlfn._xlws.FILTER('135 Raw Peak Audit'!$I$2:$I$136,('135 Raw Peak Audit'!$A$2:$A$136=$A29)*('135 Raw Peak Audit'!$I$2:$I$136&lt;&gt;""))))</f>
        <v>E38; E20</v>
      </c>
      <c r="M29" t="str" cm="1">
        <f t="array" ref="M29">_xlfn.TEXTJOIN("; ",TRUE,_xlfn.UNIQUE(_xlfn._xlws.FILTER('135 Raw Peak Audit'!$G$2:$G$136,('135 Raw Peak Audit'!$A$2:$A$136=$A29)*('135 Raw Peak Audit'!$G$2:$G$136&lt;&gt;""))))</f>
        <v>Berlin Christmas market attack and manhunt for Anis Amri; Battle of Aleppo and December Syria ceasefire</v>
      </c>
    </row>
    <row r="30" spans="1:13" ht="28.8">
      <c r="A30" s="4" t="s">
        <v>55</v>
      </c>
      <c r="B30" s="5">
        <v>43532</v>
      </c>
      <c r="C30" s="5">
        <v>43514</v>
      </c>
      <c r="D30" s="5">
        <v>43539</v>
      </c>
      <c r="E30" s="5">
        <v>43511</v>
      </c>
      <c r="F30" s="4">
        <v>165.32522583007801</v>
      </c>
      <c r="G30" s="5">
        <v>43524</v>
      </c>
      <c r="H30" s="4">
        <v>153.59866333007801</v>
      </c>
      <c r="I30" s="5">
        <v>43543</v>
      </c>
      <c r="J30" s="4">
        <v>142.805252075195</v>
      </c>
      <c r="K30" cm="1">
        <f t="array" ref="K30">ROWS(_xlfn.UNIQUE(_xlfn._xlws.FILTER('135 Raw Peak Audit'!$G$2:$G$136,('135 Raw Peak Audit'!$A$2:$A$136=$A30)*('135 Raw Peak Audit'!$G$2:$G$136&lt;&gt;""))))</f>
        <v>2</v>
      </c>
      <c r="L30" t="str" cm="1">
        <f t="array" ref="L30">_xlfn.TEXTJOIN("; ",TRUE,_xlfn.UNIQUE(_xlfn._xlws.FILTER('135 Raw Peak Audit'!$I$2:$I$136,('135 Raw Peak Audit'!$A$2:$A$136=$A30)*('135 Raw Peak Audit'!$I$2:$I$136&lt;&gt;""))))</f>
        <v>E24; E25</v>
      </c>
      <c r="M30" t="str" cm="1">
        <f t="array" ref="M30">_xlfn.TEXTJOIN("; ",TRUE,_xlfn.UNIQUE(_xlfn._xlws.FILTER('135 Raw Peak Audit'!$G$2:$G$136,('135 Raw Peak Audit'!$A$2:$A$136=$A30)*('135 Raw Peak Audit'!$G$2:$G$136&lt;&gt;""))))</f>
        <v>India–Pakistan escalation from Pulwama through the Balakot airstrike; Christchurch mosque attacks in New Zealand</v>
      </c>
    </row>
    <row r="31" spans="1:13" ht="28.8">
      <c r="A31" s="4" t="s">
        <v>56</v>
      </c>
      <c r="B31" s="5">
        <v>46105</v>
      </c>
      <c r="C31" s="5">
        <v>46057</v>
      </c>
      <c r="D31" s="5">
        <v>46155</v>
      </c>
      <c r="E31" s="5">
        <v>46091</v>
      </c>
      <c r="F31" s="4">
        <v>627.33221435546898</v>
      </c>
      <c r="G31" s="5">
        <v>46085</v>
      </c>
      <c r="H31" s="4">
        <v>611.76007080078102</v>
      </c>
      <c r="I31" s="5">
        <v>46112</v>
      </c>
      <c r="J31" s="4">
        <v>590.88153076171898</v>
      </c>
      <c r="K31" cm="1">
        <f t="array" ref="K31">ROWS(_xlfn.UNIQUE(_xlfn._xlws.FILTER('135 Raw Peak Audit'!$G$2:$G$136,('135 Raw Peak Audit'!$A$2:$A$136=$A31)*('135 Raw Peak Audit'!$G$2:$G$136&lt;&gt;""))))</f>
        <v>2</v>
      </c>
      <c r="L31" t="str" cm="1">
        <f t="array" ref="L31">_xlfn.TEXTJOIN("; ",TRUE,_xlfn.UNIQUE(_xlfn._xlws.FILTER('135 Raw Peak Audit'!$I$2:$I$136,('135 Raw Peak Audit'!$A$2:$A$136=$A31)*('135 Raw Peak Audit'!$I$2:$I$136&lt;&gt;""))))</f>
        <v>E07; E13</v>
      </c>
      <c r="M31" t="str" cm="1">
        <f t="array" ref="M31">_xlfn.TEXTJOIN("; ",TRUE,_xlfn.UNIQUE(_xlfn._xlws.FILTER('135 Raw Peak Audit'!$G$2:$G$136,('135 Raw Peak Audit'!$A$2:$A$136=$A31)*('135 Raw Peak Audit'!$G$2:$G$136&lt;&gt;""))))</f>
        <v>US–Israeli war with Iran and halt to oil/gas exports through the Strait of Hormuz; Tanker attack in Dubai amid the Iran war and Strait of Hormuz disruption</v>
      </c>
    </row>
    <row r="32" spans="1:13" ht="43.2">
      <c r="A32" s="4" t="s">
        <v>57</v>
      </c>
      <c r="B32" s="5">
        <v>42381</v>
      </c>
      <c r="C32" s="5">
        <v>42361</v>
      </c>
      <c r="D32" s="5">
        <v>42397</v>
      </c>
      <c r="E32" s="5">
        <v>42374</v>
      </c>
      <c r="F32" s="4">
        <v>266.29644775390602</v>
      </c>
      <c r="G32" s="5">
        <v>42376</v>
      </c>
      <c r="H32" s="4">
        <v>264.65521240234398</v>
      </c>
      <c r="I32" s="5">
        <v>42377</v>
      </c>
      <c r="J32" s="4">
        <v>203.20111083984401</v>
      </c>
      <c r="K32" cm="1">
        <f t="array" ref="K32">ROWS(_xlfn.UNIQUE(_xlfn._xlws.FILTER('135 Raw Peak Audit'!$G$2:$G$136,('135 Raw Peak Audit'!$A$2:$A$136=$A32)*('135 Raw Peak Audit'!$G$2:$G$136&lt;&gt;""))))</f>
        <v>1</v>
      </c>
      <c r="L32" t="str" cm="1">
        <f t="array" ref="L32">_xlfn.TEXTJOIN("; ",TRUE,_xlfn.UNIQUE(_xlfn._xlws.FILTER('135 Raw Peak Audit'!$I$2:$I$136,('135 Raw Peak Audit'!$A$2:$A$136=$A32)*('135 Raw Peak Audit'!$I$2:$I$136&lt;&gt;""))))</f>
        <v>E26</v>
      </c>
      <c r="M32" t="str" cm="1">
        <f t="array" ref="M32">_xlfn.TEXTJOIN("; ",TRUE,_xlfn.UNIQUE(_xlfn._xlws.FILTER('135 Raw Peak Audit'!$G$2:$G$136,('135 Raw Peak Audit'!$A$2:$A$136=$A32)*('135 Raw Peak Audit'!$G$2:$G$136&lt;&gt;""))))</f>
        <v>North Korea's announced nuclear test</v>
      </c>
    </row>
    <row r="33" spans="1:13" ht="43.2">
      <c r="A33" s="4" t="s">
        <v>60</v>
      </c>
      <c r="B33" s="5">
        <v>43839</v>
      </c>
      <c r="C33" s="5">
        <v>43823</v>
      </c>
      <c r="D33" s="5">
        <v>43852</v>
      </c>
      <c r="E33" s="5">
        <v>43837</v>
      </c>
      <c r="F33" s="4">
        <v>622.11676025390602</v>
      </c>
      <c r="G33" s="5">
        <v>43839</v>
      </c>
      <c r="H33" s="4">
        <v>551.646240234375</v>
      </c>
      <c r="I33" s="5">
        <v>43836</v>
      </c>
      <c r="J33" s="4">
        <v>320.62907918294297</v>
      </c>
      <c r="K33" cm="1">
        <f t="array" ref="K33">ROWS(_xlfn.UNIQUE(_xlfn._xlws.FILTER('135 Raw Peak Audit'!$G$2:$G$136,('135 Raw Peak Audit'!$A$2:$A$136=$A33)*('135 Raw Peak Audit'!$G$2:$G$136&lt;&gt;""))))</f>
        <v>2</v>
      </c>
      <c r="L33" t="str" cm="1">
        <f t="array" ref="L33">_xlfn.TEXTJOIN("; ",TRUE,_xlfn.UNIQUE(_xlfn._xlws.FILTER('135 Raw Peak Audit'!$I$2:$I$136,('135 Raw Peak Audit'!$A$2:$A$136=$A33)*('135 Raw Peak Audit'!$I$2:$I$136&lt;&gt;""))))</f>
        <v>E18; E17</v>
      </c>
      <c r="M33" t="str" cm="1">
        <f t="array" ref="M33">_xlfn.TEXTJOIN("; ",TRUE,_xlfn.UNIQUE(_xlfn._xlws.FILTER('135 Raw Peak Audit'!$G$2:$G$136,('135 Raw Peak Audit'!$A$2:$A$136=$A33)*('135 Raw Peak Audit'!$G$2:$G$136&lt;&gt;""))))</f>
        <v>US killing of Iranian general Qassem Soleimani; Iran's accidental downing of Ukraine International Airlines Flight PS752</v>
      </c>
    </row>
    <row r="34" spans="1:13" ht="43.2">
      <c r="A34" s="4" t="s">
        <v>61</v>
      </c>
      <c r="B34" s="5">
        <v>44337</v>
      </c>
      <c r="C34" s="5">
        <v>44320</v>
      </c>
      <c r="D34" s="5">
        <v>44354</v>
      </c>
      <c r="E34" s="5">
        <v>44341</v>
      </c>
      <c r="F34" s="4">
        <v>276.60290527343801</v>
      </c>
      <c r="G34" s="5">
        <v>44342</v>
      </c>
      <c r="H34" s="4">
        <v>243.571212768555</v>
      </c>
      <c r="I34" s="5">
        <v>44335</v>
      </c>
      <c r="J34" s="4">
        <v>204.66900634765599</v>
      </c>
      <c r="K34" cm="1">
        <f t="array" ref="K34">ROWS(_xlfn.UNIQUE(_xlfn._xlws.FILTER('135 Raw Peak Audit'!$G$2:$G$136,('135 Raw Peak Audit'!$A$2:$A$136=$A34)*('135 Raw Peak Audit'!$G$2:$G$136&lt;&gt;""))))</f>
        <v>2</v>
      </c>
      <c r="L34" t="str" cm="1">
        <f t="array" ref="L34">_xlfn.TEXTJOIN("; ",TRUE,_xlfn.UNIQUE(_xlfn._xlws.FILTER('135 Raw Peak Audit'!$I$2:$I$136,('135 Raw Peak Audit'!$A$2:$A$136=$A34)*('135 Raw Peak Audit'!$I$2:$I$136&lt;&gt;""))))</f>
        <v>E05; E19</v>
      </c>
      <c r="M34" t="str" cm="1">
        <f t="array" ref="M34">_xlfn.TEXTJOIN("; ",TRUE,_xlfn.UNIQUE(_xlfn._xlws.FILTER('135 Raw Peak Audit'!$G$2:$G$136,('135 Raw Peak Audit'!$A$2:$A$136=$A34)*('135 Raw Peak Audit'!$G$2:$G$136&lt;&gt;""))))</f>
        <v>Israel–Gaza ceasefire and post-conflict reconstruction commitments; May 2021 escalation of hostilities between Israel and Gaza</v>
      </c>
    </row>
    <row r="35" spans="1:13" ht="43.2">
      <c r="A35" s="4" t="s">
        <v>62</v>
      </c>
      <c r="B35" s="5">
        <v>44621</v>
      </c>
      <c r="C35" s="5">
        <v>44602</v>
      </c>
      <c r="D35" s="5">
        <v>44636</v>
      </c>
      <c r="E35" s="5">
        <v>44621</v>
      </c>
      <c r="F35" s="4">
        <v>809.48681640625</v>
      </c>
      <c r="G35" s="5">
        <v>44617</v>
      </c>
      <c r="H35" s="4">
        <v>797.75244140625</v>
      </c>
      <c r="I35" s="5">
        <v>44622</v>
      </c>
      <c r="J35" s="4">
        <v>778.19549560546898</v>
      </c>
      <c r="K35" cm="1">
        <f t="array" ref="K35">ROWS(_xlfn.UNIQUE(_xlfn._xlws.FILTER('135 Raw Peak Audit'!$G$2:$G$136,('135 Raw Peak Audit'!$A$2:$A$136=$A35)*('135 Raw Peak Audit'!$G$2:$G$136&lt;&gt;""))))</f>
        <v>1</v>
      </c>
      <c r="L35" t="str" cm="1">
        <f t="array" ref="L35">_xlfn.TEXTJOIN("; ",TRUE,_xlfn.UNIQUE(_xlfn._xlws.FILTER('135 Raw Peak Audit'!$I$2:$I$136,('135 Raw Peak Audit'!$A$2:$A$136=$A35)*('135 Raw Peak Audit'!$I$2:$I$136&lt;&gt;""))))</f>
        <v>E27</v>
      </c>
      <c r="M35" t="str" cm="1">
        <f t="array" ref="M35">_xlfn.TEXTJOIN("; ",TRUE,_xlfn.UNIQUE(_xlfn._xlws.FILTER('135 Raw Peak Audit'!$G$2:$G$136,('135 Raw Peak Audit'!$A$2:$A$136=$A35)*('135 Raw Peak Audit'!$G$2:$G$136&lt;&gt;""))))</f>
        <v>Russia's full-scale invasion of Ukraine</v>
      </c>
    </row>
    <row r="36" spans="1:13" ht="43.2">
      <c r="A36" s="4" t="s">
        <v>65</v>
      </c>
      <c r="B36" s="5">
        <v>45828</v>
      </c>
      <c r="C36" s="5">
        <v>45813</v>
      </c>
      <c r="D36" s="5">
        <v>45845</v>
      </c>
      <c r="E36" s="5">
        <v>45826</v>
      </c>
      <c r="F36" s="4">
        <v>482.16638183593801</v>
      </c>
      <c r="G36" s="5">
        <v>45833</v>
      </c>
      <c r="H36" s="4">
        <v>462.94183349609398</v>
      </c>
      <c r="I36" s="5">
        <v>45832</v>
      </c>
      <c r="J36" s="4">
        <v>436.04113769531199</v>
      </c>
      <c r="K36" cm="1">
        <f t="array" ref="K36">ROWS(_xlfn.UNIQUE(_xlfn._xlws.FILTER('135 Raw Peak Audit'!$G$2:$G$136,('135 Raw Peak Audit'!$A$2:$A$136=$A36)*('135 Raw Peak Audit'!$G$2:$G$136&lt;&gt;""))))</f>
        <v>1</v>
      </c>
      <c r="L36" t="str" cm="1">
        <f t="array" ref="L36">_xlfn.TEXTJOIN("; ",TRUE,_xlfn.UNIQUE(_xlfn._xlws.FILTER('135 Raw Peak Audit'!$I$2:$I$136,('135 Raw Peak Audit'!$A$2:$A$136=$A36)*('135 Raw Peak Audit'!$I$2:$I$136&lt;&gt;""))))</f>
        <v>E16</v>
      </c>
      <c r="M36" t="str" cm="1">
        <f t="array" ref="M36">_xlfn.TEXTJOIN("; ",TRUE,_xlfn.UNIQUE(_xlfn._xlws.FILTER('135 Raw Peak Audit'!$G$2:$G$136,('135 Raw Peak Audit'!$A$2:$A$136=$A36)*('135 Raw Peak Audit'!$G$2:$G$136&lt;&gt;""))))</f>
        <v>Israel–Iran war, US intervention and June ceasefire</v>
      </c>
    </row>
    <row r="37" spans="1:13" ht="43.2">
      <c r="A37" s="4" t="s">
        <v>66</v>
      </c>
      <c r="B37" s="5">
        <v>41715</v>
      </c>
      <c r="C37" s="5">
        <v>41705</v>
      </c>
      <c r="D37" s="5">
        <v>41723</v>
      </c>
      <c r="E37" s="5">
        <v>41703</v>
      </c>
      <c r="F37" s="4">
        <v>322.08572387695301</v>
      </c>
      <c r="G37" s="5">
        <v>41716</v>
      </c>
      <c r="H37" s="4">
        <v>300.75808715820301</v>
      </c>
      <c r="I37" s="5">
        <v>41702</v>
      </c>
      <c r="J37" s="4">
        <v>267.42755126953102</v>
      </c>
      <c r="K37" cm="1">
        <f t="array" ref="K37">ROWS(_xlfn.UNIQUE(_xlfn._xlws.FILTER('135 Raw Peak Audit'!$G$2:$G$136,('135 Raw Peak Audit'!$A$2:$A$136=$A37)*('135 Raw Peak Audit'!$G$2:$G$136&lt;&gt;""))))</f>
        <v>1</v>
      </c>
      <c r="L37" t="str" cm="1">
        <f t="array" ref="L37">_xlfn.TEXTJOIN("; ",TRUE,_xlfn.UNIQUE(_xlfn._xlws.FILTER('135 Raw Peak Audit'!$I$2:$I$136,('135 Raw Peak Audit'!$A$2:$A$136=$A37)*('135 Raw Peak Audit'!$I$2:$I$136&lt;&gt;""))))</f>
        <v>E28</v>
      </c>
      <c r="M37" t="str" cm="1">
        <f t="array" ref="M37">_xlfn.TEXTJOIN("; ",TRUE,_xlfn.UNIQUE(_xlfn._xlws.FILTER('135 Raw Peak Audit'!$G$2:$G$136,('135 Raw Peak Audit'!$A$2:$A$136=$A37)*('135 Raw Peak Audit'!$G$2:$G$136&lt;&gt;""))))</f>
        <v>Russia's takeover of Crimea / Ukraine crisis</v>
      </c>
    </row>
    <row r="38" spans="1:13" ht="43.2">
      <c r="A38" s="4" t="s">
        <v>69</v>
      </c>
      <c r="B38" s="5">
        <v>41872</v>
      </c>
      <c r="C38" s="5">
        <v>41865</v>
      </c>
      <c r="D38" s="5">
        <v>41879</v>
      </c>
      <c r="E38" s="5">
        <v>41886</v>
      </c>
      <c r="F38" s="4">
        <v>297.44921875</v>
      </c>
      <c r="G38" s="5">
        <v>41884</v>
      </c>
      <c r="H38" s="4">
        <v>294.84829711914102</v>
      </c>
      <c r="I38" s="5">
        <v>41859</v>
      </c>
      <c r="J38" s="4">
        <v>285.30001831054699</v>
      </c>
      <c r="K38" cm="1">
        <f t="array" ref="K38">ROWS(_xlfn.UNIQUE(_xlfn._xlws.FILTER('135 Raw Peak Audit'!$G$2:$G$136,('135 Raw Peak Audit'!$A$2:$A$136=$A38)*('135 Raw Peak Audit'!$G$2:$G$136&lt;&gt;""))))</f>
        <v>3</v>
      </c>
      <c r="L38" t="str" cm="1">
        <f t="array" ref="L38">_xlfn.TEXTJOIN("; ",TRUE,_xlfn.UNIQUE(_xlfn._xlws.FILTER('135 Raw Peak Audit'!$I$2:$I$136,('135 Raw Peak Audit'!$A$2:$A$136=$A38)*('135 Raw Peak Audit'!$I$2:$I$136&lt;&gt;""))))</f>
        <v>E29; E30; E31</v>
      </c>
      <c r="M38" t="str" cm="1">
        <f t="array" ref="M38">_xlfn.TEXTJOIN("; ",TRUE,_xlfn.UNIQUE(_xlfn._xlws.FILTER('135 Raw Peak Audit'!$G$2:$G$136,('135 Raw Peak Audit'!$A$2:$A$136=$A38)*('135 Raw Peak Audit'!$G$2:$G$136&lt;&gt;""))))</f>
        <v>NATO Wales Summit and pledge of support to Ukraine; Islamic State video claiming to show the killing of Steven Sotloff; US airstrikes against ISIS targets in Iraq</v>
      </c>
    </row>
    <row r="39" spans="1:13" ht="43.2">
      <c r="A39" s="4" t="s">
        <v>70</v>
      </c>
      <c r="B39" s="5">
        <v>42338</v>
      </c>
      <c r="C39" s="5">
        <v>42307</v>
      </c>
      <c r="D39" s="5">
        <v>42355</v>
      </c>
      <c r="E39" s="5">
        <v>42325</v>
      </c>
      <c r="F39" s="4">
        <v>266.17459106445301</v>
      </c>
      <c r="G39" s="5">
        <v>42332</v>
      </c>
      <c r="H39" s="4">
        <v>238.09420776367199</v>
      </c>
      <c r="I39" s="5">
        <v>42335</v>
      </c>
      <c r="J39" s="4">
        <v>212.76165771484401</v>
      </c>
      <c r="K39" cm="1">
        <f t="array" ref="K39">ROWS(_xlfn.UNIQUE(_xlfn._xlws.FILTER('135 Raw Peak Audit'!$G$2:$G$136,('135 Raw Peak Audit'!$A$2:$A$136=$A39)*('135 Raw Peak Audit'!$G$2:$G$136&lt;&gt;""))))</f>
        <v>2</v>
      </c>
      <c r="L39" t="str" cm="1">
        <f t="array" ref="L39">_xlfn.TEXTJOIN("; ",TRUE,_xlfn.UNIQUE(_xlfn._xlws.FILTER('135 Raw Peak Audit'!$I$2:$I$136,('135 Raw Peak Audit'!$A$2:$A$136=$A39)*('135 Raw Peak Audit'!$I$2:$I$136&lt;&gt;""))))</f>
        <v>E03; E04</v>
      </c>
      <c r="M39" t="str" cm="1">
        <f t="array" ref="M39">_xlfn.TEXTJOIN("; ",TRUE,_xlfn.UNIQUE(_xlfn._xlws.FILTER('135 Raw Peak Audit'!$G$2:$G$136,('135 Raw Peak Audit'!$A$2:$A$136=$A39)*('135 Raw Peak Audit'!$G$2:$G$136&lt;&gt;""))))</f>
        <v>Paris attacks and the Saint-Denis anti-terror raid; Turkey shoots down a Russian military aircraft near the Syria border</v>
      </c>
    </row>
    <row r="40" spans="1:13" ht="43.2">
      <c r="A40" s="4" t="s">
        <v>71</v>
      </c>
      <c r="B40" s="5">
        <v>43740</v>
      </c>
      <c r="C40" s="5">
        <v>43728</v>
      </c>
      <c r="D40" s="5">
        <v>43746</v>
      </c>
      <c r="E40" s="5">
        <v>43725</v>
      </c>
      <c r="F40" s="4">
        <v>325.92974853515602</v>
      </c>
      <c r="G40" s="5">
        <v>43754</v>
      </c>
      <c r="H40" s="4">
        <v>283.49554443359398</v>
      </c>
      <c r="I40" s="5">
        <v>43727</v>
      </c>
      <c r="J40" s="4">
        <v>240.13623046875</v>
      </c>
      <c r="K40" cm="1">
        <f t="array" ref="K40">ROWS(_xlfn.UNIQUE(_xlfn._xlws.FILTER('135 Raw Peak Audit'!$G$2:$G$136,('135 Raw Peak Audit'!$A$2:$A$136=$A40)*('135 Raw Peak Audit'!$G$2:$G$136&lt;&gt;""))))</f>
        <v>2</v>
      </c>
      <c r="L40" t="str" cm="1">
        <f t="array" ref="L40">_xlfn.TEXTJOIN("; ",TRUE,_xlfn.UNIQUE(_xlfn._xlws.FILTER('135 Raw Peak Audit'!$I$2:$I$136,('135 Raw Peak Audit'!$A$2:$A$136=$A40)*('135 Raw Peak Audit'!$I$2:$I$136&lt;&gt;""))))</f>
        <v>E10; E11</v>
      </c>
      <c r="M40" t="str" cm="1">
        <f t="array" ref="M40">_xlfn.TEXTJOIN("; ",TRUE,_xlfn.UNIQUE(_xlfn._xlws.FILTER('135 Raw Peak Audit'!$G$2:$G$136,('135 Raw Peak Audit'!$A$2:$A$136=$A40)*('135 Raw Peak Audit'!$G$2:$G$136&lt;&gt;""))))</f>
        <v>Attacks on Saudi Aramco facilities and accusations against Iran; Turkey's Operation Peace Spring offensive in north-eastern Syria</v>
      </c>
    </row>
    <row r="41" spans="1:13" ht="43.2">
      <c r="A41" s="4" t="s">
        <v>72</v>
      </c>
      <c r="B41" s="5">
        <v>46112</v>
      </c>
      <c r="C41" s="5">
        <v>46107</v>
      </c>
      <c r="D41" s="5">
        <v>46120</v>
      </c>
      <c r="E41" s="5">
        <v>46112</v>
      </c>
      <c r="F41" s="4">
        <v>492.85354614257801</v>
      </c>
      <c r="G41" s="5">
        <v>46121</v>
      </c>
      <c r="H41" s="4">
        <v>488.78439331054699</v>
      </c>
      <c r="I41" s="5">
        <v>46126</v>
      </c>
      <c r="J41" s="4">
        <v>475.73468017578102</v>
      </c>
      <c r="K41" cm="1">
        <f t="array" ref="K41">ROWS(_xlfn.UNIQUE(_xlfn._xlws.FILTER('135 Raw Peak Audit'!$G$2:$G$136,('135 Raw Peak Audit'!$A$2:$A$136=$A41)*('135 Raw Peak Audit'!$G$2:$G$136&lt;&gt;""))))</f>
        <v>3</v>
      </c>
      <c r="L41" t="str" cm="1">
        <f t="array" ref="L41">_xlfn.TEXTJOIN("; ",TRUE,_xlfn.UNIQUE(_xlfn._xlws.FILTER('135 Raw Peak Audit'!$I$2:$I$136,('135 Raw Peak Audit'!$A$2:$A$136=$A41)*('135 Raw Peak Audit'!$I$2:$I$136&lt;&gt;""))))</f>
        <v>E13; E32; E33</v>
      </c>
      <c r="M41" t="str" cm="1">
        <f t="array" ref="M41">_xlfn.TEXTJOIN("; ",TRUE,_xlfn.UNIQUE(_xlfn._xlws.FILTER('135 Raw Peak Audit'!$G$2:$G$136,('135 Raw Peak Audit'!$A$2:$A$136=$A41)*('135 Raw Peak Audit'!$G$2:$G$136&lt;&gt;""))))</f>
        <v>Tanker attack in Dubai amid the Iran war and Strait of Hormuz disruption; Shipping disruption continues despite the temporary US–Iran ceasefire; US naval blockade of Iranian ports and continuing Strait of Hormuz disruption</v>
      </c>
    </row>
    <row r="42" spans="1:13" ht="43.2">
      <c r="A42" s="4" t="s">
        <v>73</v>
      </c>
      <c r="B42" s="5">
        <v>42941</v>
      </c>
      <c r="C42" s="5">
        <v>42930</v>
      </c>
      <c r="D42" s="5">
        <v>42944</v>
      </c>
      <c r="E42" s="5">
        <v>42957</v>
      </c>
      <c r="F42" s="4">
        <v>330.54043579101602</v>
      </c>
      <c r="G42" s="5">
        <v>42921</v>
      </c>
      <c r="H42" s="4">
        <v>287.85806274414102</v>
      </c>
      <c r="I42" s="5">
        <v>42922</v>
      </c>
      <c r="J42" s="4">
        <v>267.86099243164102</v>
      </c>
      <c r="K42" cm="1">
        <f t="array" ref="K42">ROWS(_xlfn.UNIQUE(_xlfn._xlws.FILTER('135 Raw Peak Audit'!$G$2:$G$136,('135 Raw Peak Audit'!$A$2:$A$136=$A42)*('135 Raw Peak Audit'!$G$2:$G$136&lt;&gt;""))))</f>
        <v>2</v>
      </c>
      <c r="L42" t="str" cm="1">
        <f t="array" ref="L42">_xlfn.TEXTJOIN("; ",TRUE,_xlfn.UNIQUE(_xlfn._xlws.FILTER('135 Raw Peak Audit'!$I$2:$I$136,('135 Raw Peak Audit'!$A$2:$A$136=$A42)*('135 Raw Peak Audit'!$I$2:$I$136&lt;&gt;""))))</f>
        <v>E34; E35</v>
      </c>
      <c r="M42" t="str" cm="1">
        <f t="array" ref="M42">_xlfn.TEXTJOIN("; ",TRUE,_xlfn.UNIQUE(_xlfn._xlws.FILTER('135 Raw Peak Audit'!$G$2:$G$136,('135 Raw Peak Audit'!$A$2:$A$136=$A42)*('135 Raw Peak Audit'!$G$2:$G$136&lt;&gt;""))))</f>
        <v>North Korean threat to strike Guam and Trump 'fire and fury' response; North Korea's first successful intercontinental ballistic missile test of July 2017</v>
      </c>
    </row>
    <row r="43" spans="1:13" ht="43.2">
      <c r="A43" s="4" t="s">
        <v>74</v>
      </c>
      <c r="B43" s="5">
        <v>44628</v>
      </c>
      <c r="C43" s="5">
        <v>44616</v>
      </c>
      <c r="D43" s="5">
        <v>44634</v>
      </c>
      <c r="E43" s="5">
        <v>44621</v>
      </c>
      <c r="F43" s="4">
        <v>809.48681640625</v>
      </c>
      <c r="G43" s="5">
        <v>44617</v>
      </c>
      <c r="H43" s="4">
        <v>797.75244140625</v>
      </c>
      <c r="I43" s="5">
        <v>44622</v>
      </c>
      <c r="J43" s="4">
        <v>778.19549560546898</v>
      </c>
      <c r="K43" cm="1">
        <f t="array" ref="K43">ROWS(_xlfn.UNIQUE(_xlfn._xlws.FILTER('135 Raw Peak Audit'!$G$2:$G$136,('135 Raw Peak Audit'!$A$2:$A$136=$A43)*('135 Raw Peak Audit'!$G$2:$G$136&lt;&gt;""))))</f>
        <v>1</v>
      </c>
      <c r="L43" t="str" cm="1">
        <f t="array" ref="L43">_xlfn.TEXTJOIN("; ",TRUE,_xlfn.UNIQUE(_xlfn._xlws.FILTER('135 Raw Peak Audit'!$I$2:$I$136,('135 Raw Peak Audit'!$A$2:$A$136=$A43)*('135 Raw Peak Audit'!$I$2:$I$136&lt;&gt;""))))</f>
        <v>E27</v>
      </c>
      <c r="M43" t="str" cm="1">
        <f t="array" ref="M43">_xlfn.TEXTJOIN("; ",TRUE,_xlfn.UNIQUE(_xlfn._xlws.FILTER('135 Raw Peak Audit'!$G$2:$G$136,('135 Raw Peak Audit'!$A$2:$A$136=$A43)*('135 Raw Peak Audit'!$G$2:$G$136&lt;&gt;""))))</f>
        <v>Russia's full-scale invasion of Ukraine</v>
      </c>
    </row>
    <row r="44" spans="1:13" ht="43.2">
      <c r="A44" s="4" t="s">
        <v>75</v>
      </c>
      <c r="B44" s="5">
        <v>44757</v>
      </c>
      <c r="C44" s="5">
        <v>44753</v>
      </c>
      <c r="D44" s="5">
        <v>44767</v>
      </c>
      <c r="E44" s="5">
        <v>44777</v>
      </c>
      <c r="F44" s="4">
        <v>285.93466186523398</v>
      </c>
      <c r="G44" s="5">
        <v>44776</v>
      </c>
      <c r="H44" s="4">
        <v>264.58355712890602</v>
      </c>
      <c r="I44" s="5">
        <v>44775</v>
      </c>
      <c r="J44" s="4">
        <v>262.33370971679699</v>
      </c>
      <c r="K44" cm="1">
        <f t="array" ref="K44">ROWS(_xlfn.UNIQUE(_xlfn._xlws.FILTER('135 Raw Peak Audit'!$G$2:$G$136,('135 Raw Peak Audit'!$A$2:$A$136=$A44)*('135 Raw Peak Audit'!$G$2:$G$136&lt;&gt;""))))</f>
        <v>1</v>
      </c>
      <c r="L44" t="str" cm="1">
        <f t="array" ref="L44">_xlfn.TEXTJOIN("; ",TRUE,_xlfn.UNIQUE(_xlfn._xlws.FILTER('135 Raw Peak Audit'!$I$2:$I$136,('135 Raw Peak Audit'!$A$2:$A$136=$A44)*('135 Raw Peak Audit'!$I$2:$I$136&lt;&gt;""))))</f>
        <v>E36</v>
      </c>
      <c r="M44" t="str" cm="1">
        <f t="array" ref="M44">_xlfn.TEXTJOIN("; ",TRUE,_xlfn.UNIQUE(_xlfn._xlws.FILTER('135 Raw Peak Audit'!$G$2:$G$136,('135 Raw Peak Audit'!$A$2:$A$136=$A44)*('135 Raw Peak Audit'!$G$2:$G$136&lt;&gt;""))))</f>
        <v>Nancy Pelosi's Taiwan visit and China's announced military drills</v>
      </c>
    </row>
    <row r="45" spans="1:13" ht="43.2">
      <c r="A45" s="4" t="s">
        <v>78</v>
      </c>
      <c r="B45" s="5">
        <v>45813</v>
      </c>
      <c r="C45" s="5">
        <v>45796</v>
      </c>
      <c r="D45" s="5">
        <v>45821</v>
      </c>
      <c r="E45" s="5">
        <v>45826</v>
      </c>
      <c r="F45" s="4">
        <v>482.16638183593801</v>
      </c>
      <c r="G45" s="5">
        <v>45833</v>
      </c>
      <c r="H45" s="4">
        <v>462.94183349609398</v>
      </c>
      <c r="I45" s="5">
        <v>45832</v>
      </c>
      <c r="J45" s="4">
        <v>436.04113769531199</v>
      </c>
      <c r="K45" cm="1">
        <f t="array" ref="K45">ROWS(_xlfn.UNIQUE(_xlfn._xlws.FILTER('135 Raw Peak Audit'!$G$2:$G$136,('135 Raw Peak Audit'!$A$2:$A$136=$A45)*('135 Raw Peak Audit'!$G$2:$G$136&lt;&gt;""))))</f>
        <v>1</v>
      </c>
      <c r="L45" t="str" cm="1">
        <f t="array" ref="L45">_xlfn.TEXTJOIN("; ",TRUE,_xlfn.UNIQUE(_xlfn._xlws.FILTER('135 Raw Peak Audit'!$I$2:$I$136,('135 Raw Peak Audit'!$A$2:$A$136=$A45)*('135 Raw Peak Audit'!$I$2:$I$136&lt;&gt;""))))</f>
        <v>E16</v>
      </c>
      <c r="M45" t="str" cm="1">
        <f t="array" ref="M45">_xlfn.TEXTJOIN("; ",TRUE,_xlfn.UNIQUE(_xlfn._xlws.FILTER('135 Raw Peak Audit'!$G$2:$G$136,('135 Raw Peak Audit'!$A$2:$A$136=$A45)*('135 Raw Peak Audit'!$G$2:$G$136&lt;&gt;""))))</f>
        <v>Israel–Iran war, US intervention and June ceasefire</v>
      </c>
    </row>
    <row r="46" spans="1:13" ht="43.2">
      <c r="A46" s="6" t="s">
        <v>79</v>
      </c>
      <c r="B46" s="7">
        <v>46105</v>
      </c>
      <c r="C46" s="7">
        <v>46099</v>
      </c>
      <c r="D46" s="7">
        <v>46111</v>
      </c>
      <c r="E46" s="7">
        <v>46085</v>
      </c>
      <c r="F46" s="6">
        <v>548.06591796875</v>
      </c>
      <c r="G46" s="7">
        <v>46112</v>
      </c>
      <c r="H46" s="6">
        <v>492.85354614257801</v>
      </c>
      <c r="I46" s="7">
        <v>46121</v>
      </c>
      <c r="J46" s="6">
        <v>488.78439331054699</v>
      </c>
      <c r="K46" cm="1">
        <f t="array" ref="K46">ROWS(_xlfn.UNIQUE(_xlfn._xlws.FILTER('135 Raw Peak Audit'!$G$2:$G$136,('135 Raw Peak Audit'!$A$2:$A$136=$A46)*('135 Raw Peak Audit'!$G$2:$G$136&lt;&gt;""))))</f>
        <v>3</v>
      </c>
      <c r="L46" t="str" cm="1">
        <f t="array" ref="L46">_xlfn.TEXTJOIN("; ",TRUE,_xlfn.UNIQUE(_xlfn._xlws.FILTER('135 Raw Peak Audit'!$I$2:$I$136,('135 Raw Peak Audit'!$A$2:$A$136=$A46)*('135 Raw Peak Audit'!$I$2:$I$136&lt;&gt;""))))</f>
        <v>E07; E13; E32</v>
      </c>
      <c r="M46" t="str" cm="1">
        <f t="array" ref="M46">_xlfn.TEXTJOIN("; ",TRUE,_xlfn.UNIQUE(_xlfn._xlws.FILTER('135 Raw Peak Audit'!$G$2:$G$136,('135 Raw Peak Audit'!$A$2:$A$136=$A46)*('135 Raw Peak Audit'!$G$2:$G$136&lt;&gt;""))))</f>
        <v>US–Israeli war with Iran and halt to oil/gas exports through the Strait of Hormuz; Tanker attack in Dubai amid the Iran war and Strait of Hormuz disruption; Shipping disruption continues despite the temporary US–Iran ceasefire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6"/>
  <sheetViews>
    <sheetView topLeftCell="A52" zoomScale="64" workbookViewId="0">
      <selection activeCell="J23" sqref="J23"/>
    </sheetView>
  </sheetViews>
  <sheetFormatPr defaultRowHeight="14.4"/>
  <cols>
    <col min="1" max="1" width="14.5546875" customWidth="1"/>
    <col min="2" max="2" width="22.77734375" bestFit="1" customWidth="1"/>
    <col min="3" max="3" width="21.33203125" bestFit="1" customWidth="1"/>
    <col min="4" max="4" width="9" bestFit="1" customWidth="1"/>
    <col min="5" max="5" width="21.109375" bestFit="1" customWidth="1"/>
    <col min="6" max="6" width="14.5546875" bestFit="1" customWidth="1"/>
    <col min="7" max="7" width="28" customWidth="1"/>
    <col min="8" max="8" width="15.6640625" customWidth="1"/>
    <col min="9" max="9" width="11.77734375" customWidth="1"/>
    <col min="10" max="10" width="23.33203125" bestFit="1" customWidth="1"/>
    <col min="11" max="11" width="12.33203125" customWidth="1"/>
    <col min="12" max="13" width="18" customWidth="1"/>
    <col min="14" max="14" width="22" customWidth="1"/>
  </cols>
  <sheetData>
    <row r="1" spans="1:14" ht="25.65" customHeight="1">
      <c r="A1" s="8" t="s">
        <v>0</v>
      </c>
      <c r="B1" s="1" t="s">
        <v>80</v>
      </c>
      <c r="C1" s="1" t="s">
        <v>81</v>
      </c>
      <c r="D1" s="1" t="s">
        <v>82</v>
      </c>
      <c r="E1" s="1" t="s">
        <v>83</v>
      </c>
      <c r="F1" s="1" t="s">
        <v>84</v>
      </c>
      <c r="G1" s="13" t="s">
        <v>85</v>
      </c>
      <c r="H1" s="9" t="s">
        <v>10</v>
      </c>
      <c r="I1" s="19" t="s">
        <v>86</v>
      </c>
      <c r="J1" s="19" t="s">
        <v>87</v>
      </c>
      <c r="K1" s="19" t="s">
        <v>88</v>
      </c>
      <c r="L1" s="21" t="s">
        <v>282</v>
      </c>
      <c r="M1" s="21" t="s">
        <v>283</v>
      </c>
      <c r="N1" s="21" t="s">
        <v>284</v>
      </c>
    </row>
    <row r="2" spans="1:14" ht="28.8">
      <c r="A2" s="10" t="s">
        <v>13</v>
      </c>
      <c r="B2" s="3">
        <v>42192</v>
      </c>
      <c r="C2" s="3">
        <v>42212</v>
      </c>
      <c r="D2" s="2">
        <v>1</v>
      </c>
      <c r="E2" s="3">
        <v>42200</v>
      </c>
      <c r="F2" s="2">
        <v>229.97799682617199</v>
      </c>
      <c r="G2" s="14" t="s">
        <v>89</v>
      </c>
      <c r="H2" cm="1">
        <v>2</v>
      </c>
      <c r="I2" s="4" t="str">
        <f>IF(G2="","",IFERROR(INDEX(Sources!$A$2:$A$99,MATCH(G2,Sources!$B$2:$B$99,0)),"MISSING SOURCE"))</f>
        <v>E01</v>
      </c>
      <c r="J2" s="18">
        <v>42199</v>
      </c>
      <c r="K2" s="17" t="str">
        <f t="shared" ref="K2:K65" si="0">IF(E2&lt;J2-1,"FLAG","OK")</f>
        <v>OK</v>
      </c>
      <c r="L2" s="20">
        <v>42200</v>
      </c>
      <c r="M2" s="20">
        <v>42214</v>
      </c>
      <c r="N2" t="str">
        <f t="shared" ref="N2:N65" si="1">IF(OR(E2&lt;L2,E2&gt;M2),"FLAG","OK")</f>
        <v>OK</v>
      </c>
    </row>
    <row r="3" spans="1:14" ht="28.8">
      <c r="A3" s="11" t="s">
        <v>13</v>
      </c>
      <c r="B3" s="5">
        <v>42192</v>
      </c>
      <c r="C3" s="5">
        <v>42212</v>
      </c>
      <c r="D3" s="4">
        <v>2</v>
      </c>
      <c r="E3" s="5">
        <v>42206</v>
      </c>
      <c r="F3" s="4">
        <v>193.97918701171901</v>
      </c>
      <c r="G3" s="15" t="s">
        <v>91</v>
      </c>
      <c r="H3" cm="1">
        <v>2</v>
      </c>
      <c r="I3" s="4" t="str">
        <f>IF(G3="","",IFERROR(INDEX(Sources!$A$2:$A$99,MATCH(G3,Sources!$B$2:$B$99,0)),"MISSING SOURCE"))</f>
        <v>E02</v>
      </c>
      <c r="J3" s="18">
        <v>42205</v>
      </c>
      <c r="K3" s="17" t="str">
        <f t="shared" si="0"/>
        <v>OK</v>
      </c>
      <c r="L3" s="20">
        <v>42200</v>
      </c>
      <c r="M3" s="20">
        <v>42214</v>
      </c>
      <c r="N3" t="str">
        <f t="shared" si="1"/>
        <v>OK</v>
      </c>
    </row>
    <row r="4" spans="1:14" ht="28.8">
      <c r="A4" s="11" t="s">
        <v>13</v>
      </c>
      <c r="B4" s="5">
        <v>42192</v>
      </c>
      <c r="C4" s="5">
        <v>42212</v>
      </c>
      <c r="D4" s="4">
        <v>3</v>
      </c>
      <c r="E4" s="5">
        <v>42207</v>
      </c>
      <c r="F4" s="4">
        <v>152.95497131347699</v>
      </c>
      <c r="G4" s="15" t="s">
        <v>91</v>
      </c>
      <c r="H4" cm="1">
        <v>2</v>
      </c>
      <c r="I4" s="4" t="str">
        <f>IF(G4="","",IFERROR(INDEX(Sources!$A$2:$A$99,MATCH(G4,Sources!$B$2:$B$99,0)),"MISSING SOURCE"))</f>
        <v>E02</v>
      </c>
      <c r="J4" s="18">
        <v>42205</v>
      </c>
      <c r="K4" s="17" t="str">
        <f t="shared" si="0"/>
        <v>OK</v>
      </c>
      <c r="L4" s="20">
        <v>42200</v>
      </c>
      <c r="M4" s="20">
        <v>42214</v>
      </c>
      <c r="N4" t="str">
        <f t="shared" si="1"/>
        <v>OK</v>
      </c>
    </row>
    <row r="5" spans="1:14" ht="28.8">
      <c r="A5" s="11" t="s">
        <v>14</v>
      </c>
      <c r="B5" s="5">
        <v>42314</v>
      </c>
      <c r="C5" s="5">
        <v>42338</v>
      </c>
      <c r="D5" s="4">
        <v>1</v>
      </c>
      <c r="E5" s="5">
        <v>42325</v>
      </c>
      <c r="F5" s="4">
        <v>354.05187988281199</v>
      </c>
      <c r="G5" s="15" t="s">
        <v>93</v>
      </c>
      <c r="H5" cm="1">
        <v>2</v>
      </c>
      <c r="I5" s="4" t="str">
        <f>IF(G5="","",IFERROR(INDEX(Sources!$A$2:$A$99,MATCH(G5,Sources!$B$2:$B$99,0)),"MISSING SOURCE"))</f>
        <v>E03</v>
      </c>
      <c r="J5" s="18">
        <v>42321</v>
      </c>
      <c r="K5" s="17" t="str">
        <f t="shared" si="0"/>
        <v>OK</v>
      </c>
      <c r="L5" s="20">
        <v>42324</v>
      </c>
      <c r="M5" s="20">
        <v>42338</v>
      </c>
      <c r="N5" t="str">
        <f t="shared" si="1"/>
        <v>OK</v>
      </c>
    </row>
    <row r="6" spans="1:14" ht="28.8">
      <c r="A6" s="11" t="s">
        <v>14</v>
      </c>
      <c r="B6" s="5">
        <v>42314</v>
      </c>
      <c r="C6" s="5">
        <v>42338</v>
      </c>
      <c r="D6" s="4">
        <v>2</v>
      </c>
      <c r="E6" s="5">
        <v>42326</v>
      </c>
      <c r="F6" s="4">
        <v>309.495361328125</v>
      </c>
      <c r="G6" s="15" t="s">
        <v>93</v>
      </c>
      <c r="H6" cm="1">
        <v>2</v>
      </c>
      <c r="I6" s="4" t="str">
        <f>IF(G6="","",IFERROR(INDEX(Sources!$A$2:$A$99,MATCH(G6,Sources!$B$2:$B$99,0)),"MISSING SOURCE"))</f>
        <v>E03</v>
      </c>
      <c r="J6" s="18">
        <v>42321</v>
      </c>
      <c r="K6" s="17" t="str">
        <f t="shared" si="0"/>
        <v>OK</v>
      </c>
      <c r="L6" s="20">
        <v>42324</v>
      </c>
      <c r="M6" s="20">
        <v>42338</v>
      </c>
      <c r="N6" t="str">
        <f t="shared" si="1"/>
        <v>OK</v>
      </c>
    </row>
    <row r="7" spans="1:14" ht="43.2">
      <c r="A7" s="11" t="s">
        <v>14</v>
      </c>
      <c r="B7" s="5">
        <v>42314</v>
      </c>
      <c r="C7" s="5">
        <v>42338</v>
      </c>
      <c r="D7" s="4">
        <v>3</v>
      </c>
      <c r="E7" s="5">
        <v>42333</v>
      </c>
      <c r="F7" s="4">
        <v>247.6171875</v>
      </c>
      <c r="G7" s="15" t="s">
        <v>95</v>
      </c>
      <c r="H7" cm="1">
        <v>2</v>
      </c>
      <c r="I7" s="4" t="str">
        <f>IF(G7="","",IFERROR(INDEX(Sources!$A$2:$A$99,MATCH(G7,Sources!$B$2:$B$99,0)),"MISSING SOURCE"))</f>
        <v>E04</v>
      </c>
      <c r="J7" s="18">
        <v>42332</v>
      </c>
      <c r="K7" s="17" t="str">
        <f t="shared" si="0"/>
        <v>OK</v>
      </c>
      <c r="L7" s="20">
        <v>42324</v>
      </c>
      <c r="M7" s="20">
        <v>42338</v>
      </c>
      <c r="N7" t="str">
        <f t="shared" si="1"/>
        <v>OK</v>
      </c>
    </row>
    <row r="8" spans="1:14" ht="43.2">
      <c r="A8" s="11" t="s">
        <v>15</v>
      </c>
      <c r="B8" s="5">
        <v>44320</v>
      </c>
      <c r="C8" s="5">
        <v>44354</v>
      </c>
      <c r="D8" s="4">
        <v>1</v>
      </c>
      <c r="E8" s="5">
        <v>44342</v>
      </c>
      <c r="F8" s="4">
        <v>176.61283874511699</v>
      </c>
      <c r="G8" s="15" t="s">
        <v>17</v>
      </c>
      <c r="H8" cm="1">
        <v>1</v>
      </c>
      <c r="I8" s="4" t="str">
        <f>IF(G8="","",IFERROR(INDEX(Sources!$A$2:$A$99,MATCH(G8,Sources!$B$2:$B$99,0)),"MISSING SOURCE"))</f>
        <v>E05</v>
      </c>
      <c r="J8" s="18">
        <v>44337</v>
      </c>
      <c r="K8" s="17" t="str">
        <f t="shared" si="0"/>
        <v>OK</v>
      </c>
      <c r="L8" s="20">
        <v>44329</v>
      </c>
      <c r="M8" s="20">
        <v>44343</v>
      </c>
      <c r="N8" t="str">
        <f t="shared" si="1"/>
        <v>OK</v>
      </c>
    </row>
    <row r="9" spans="1:14" ht="43.2">
      <c r="A9" s="11" t="s">
        <v>15</v>
      </c>
      <c r="B9" s="5">
        <v>44320</v>
      </c>
      <c r="C9" s="5">
        <v>44354</v>
      </c>
      <c r="D9" s="4">
        <v>2</v>
      </c>
      <c r="E9" s="5">
        <v>44341</v>
      </c>
      <c r="F9" s="4">
        <v>170.94143676757801</v>
      </c>
      <c r="G9" s="15" t="s">
        <v>17</v>
      </c>
      <c r="H9" cm="1">
        <v>1</v>
      </c>
      <c r="I9" s="4" t="str">
        <f>IF(G9="","",IFERROR(INDEX(Sources!$A$2:$A$99,MATCH(G9,Sources!$B$2:$B$99,0)),"MISSING SOURCE"))</f>
        <v>E05</v>
      </c>
      <c r="J9" s="18">
        <v>44337</v>
      </c>
      <c r="K9" s="17" t="str">
        <f t="shared" si="0"/>
        <v>OK</v>
      </c>
      <c r="L9" s="20">
        <v>44329</v>
      </c>
      <c r="M9" s="20">
        <v>44343</v>
      </c>
      <c r="N9" t="str">
        <f t="shared" si="1"/>
        <v>OK</v>
      </c>
    </row>
    <row r="10" spans="1:14" ht="43.2">
      <c r="A10" s="11" t="s">
        <v>15</v>
      </c>
      <c r="B10" s="5">
        <v>44320</v>
      </c>
      <c r="C10" s="5">
        <v>44354</v>
      </c>
      <c r="D10" s="4">
        <v>3</v>
      </c>
      <c r="E10" s="5">
        <v>44337</v>
      </c>
      <c r="F10" s="4">
        <v>165.85250854492199</v>
      </c>
      <c r="G10" s="15" t="s">
        <v>17</v>
      </c>
      <c r="H10" cm="1">
        <v>1</v>
      </c>
      <c r="I10" s="4" t="str">
        <f>IF(G10="","",IFERROR(INDEX(Sources!$A$2:$A$99,MATCH(G10,Sources!$B$2:$B$99,0)),"MISSING SOURCE"))</f>
        <v>E05</v>
      </c>
      <c r="J10" s="18">
        <v>44337</v>
      </c>
      <c r="K10" s="17" t="str">
        <f t="shared" si="0"/>
        <v>OK</v>
      </c>
      <c r="L10" s="20">
        <v>44329</v>
      </c>
      <c r="M10" s="20">
        <v>44343</v>
      </c>
      <c r="N10" t="str">
        <f t="shared" si="1"/>
        <v>OK</v>
      </c>
    </row>
    <row r="11" spans="1:14" ht="28.8">
      <c r="A11" s="11" t="s">
        <v>18</v>
      </c>
      <c r="B11" s="5">
        <v>45719</v>
      </c>
      <c r="C11" s="5">
        <v>45747</v>
      </c>
      <c r="D11" s="4">
        <v>1</v>
      </c>
      <c r="E11" s="5">
        <v>45735</v>
      </c>
      <c r="F11" s="4">
        <v>275.09213256835898</v>
      </c>
      <c r="G11" s="15" t="s">
        <v>20</v>
      </c>
      <c r="H11" cm="1">
        <v>1</v>
      </c>
      <c r="I11" s="4" t="str">
        <f>IF(G11="","",IFERROR(INDEX(Sources!$A$2:$A$99,MATCH(G11,Sources!$B$2:$B$99,0)),"MISSING SOURCE"))</f>
        <v>E06</v>
      </c>
      <c r="J11" s="18">
        <v>45727</v>
      </c>
      <c r="K11" s="17" t="str">
        <f t="shared" si="0"/>
        <v>OK</v>
      </c>
      <c r="L11" s="20">
        <v>45722</v>
      </c>
      <c r="M11" s="20">
        <v>45736</v>
      </c>
      <c r="N11" t="str">
        <f t="shared" si="1"/>
        <v>OK</v>
      </c>
    </row>
    <row r="12" spans="1:14" ht="28.8">
      <c r="A12" s="11" t="s">
        <v>18</v>
      </c>
      <c r="B12" s="5">
        <v>45719</v>
      </c>
      <c r="C12" s="5">
        <v>45747</v>
      </c>
      <c r="D12" s="4">
        <v>2</v>
      </c>
      <c r="E12" s="5">
        <v>45729</v>
      </c>
      <c r="F12" s="4">
        <v>254.812911987305</v>
      </c>
      <c r="G12" s="15" t="s">
        <v>20</v>
      </c>
      <c r="H12" cm="1">
        <v>1</v>
      </c>
      <c r="I12" s="4" t="str">
        <f>IF(G12="","",IFERROR(INDEX(Sources!$A$2:$A$99,MATCH(G12,Sources!$B$2:$B$99,0)),"MISSING SOURCE"))</f>
        <v>E06</v>
      </c>
      <c r="J12" s="18">
        <v>45727</v>
      </c>
      <c r="K12" s="17" t="str">
        <f t="shared" si="0"/>
        <v>OK</v>
      </c>
      <c r="L12" s="20">
        <v>45722</v>
      </c>
      <c r="M12" s="20">
        <v>45736</v>
      </c>
      <c r="N12" t="str">
        <f t="shared" si="1"/>
        <v>OK</v>
      </c>
    </row>
    <row r="13" spans="1:14" ht="28.8">
      <c r="A13" s="11" t="s">
        <v>18</v>
      </c>
      <c r="B13" s="5">
        <v>45719</v>
      </c>
      <c r="C13" s="5">
        <v>45747</v>
      </c>
      <c r="D13" s="4">
        <v>3</v>
      </c>
      <c r="E13" s="5">
        <v>45736</v>
      </c>
      <c r="F13" s="4">
        <v>246.20436096191401</v>
      </c>
      <c r="G13" s="15" t="s">
        <v>20</v>
      </c>
      <c r="H13" cm="1">
        <v>1</v>
      </c>
      <c r="I13" s="4" t="str">
        <f>IF(G13="","",IFERROR(INDEX(Sources!$A$2:$A$99,MATCH(G13,Sources!$B$2:$B$99,0)),"MISSING SOURCE"))</f>
        <v>E06</v>
      </c>
      <c r="J13" s="18">
        <v>45727</v>
      </c>
      <c r="K13" s="17" t="str">
        <f t="shared" si="0"/>
        <v>OK</v>
      </c>
      <c r="L13" s="20">
        <v>45722</v>
      </c>
      <c r="M13" s="20">
        <v>45736</v>
      </c>
      <c r="N13" t="str">
        <f t="shared" si="1"/>
        <v>OK</v>
      </c>
    </row>
    <row r="14" spans="1:14" ht="43.2">
      <c r="A14" s="11" t="s">
        <v>21</v>
      </c>
      <c r="B14" s="5">
        <v>46069</v>
      </c>
      <c r="C14" s="5">
        <v>46097</v>
      </c>
      <c r="D14" s="4">
        <v>1</v>
      </c>
      <c r="E14" s="5">
        <v>46085</v>
      </c>
      <c r="F14" s="4">
        <v>465.91864013671898</v>
      </c>
      <c r="G14" s="15" t="s">
        <v>23</v>
      </c>
      <c r="H14" cm="1">
        <v>1</v>
      </c>
      <c r="I14" s="4" t="str">
        <f>IF(G14="","",IFERROR(INDEX(Sources!$A$2:$A$99,MATCH(G14,Sources!$B$2:$B$99,0)),"MISSING SOURCE"))</f>
        <v>E07</v>
      </c>
      <c r="J14" s="18">
        <v>46081</v>
      </c>
      <c r="K14" s="17" t="str">
        <f t="shared" si="0"/>
        <v>OK</v>
      </c>
      <c r="L14" s="20">
        <v>46084</v>
      </c>
      <c r="M14" s="20">
        <v>46098</v>
      </c>
      <c r="N14" t="str">
        <f t="shared" si="1"/>
        <v>OK</v>
      </c>
    </row>
    <row r="15" spans="1:14" ht="43.2">
      <c r="A15" s="11" t="s">
        <v>21</v>
      </c>
      <c r="B15" s="5">
        <v>46069</v>
      </c>
      <c r="C15" s="5">
        <v>46097</v>
      </c>
      <c r="D15" s="4">
        <v>2</v>
      </c>
      <c r="E15" s="5">
        <v>46091</v>
      </c>
      <c r="F15" s="4">
        <v>457.110595703125</v>
      </c>
      <c r="G15" s="15" t="s">
        <v>23</v>
      </c>
      <c r="H15" cm="1">
        <v>1</v>
      </c>
      <c r="I15" s="4" t="str">
        <f>IF(G15="","",IFERROR(INDEX(Sources!$A$2:$A$99,MATCH(G15,Sources!$B$2:$B$99,0)),"MISSING SOURCE"))</f>
        <v>E07</v>
      </c>
      <c r="J15" s="18">
        <v>46081</v>
      </c>
      <c r="K15" s="17" t="str">
        <f t="shared" si="0"/>
        <v>OK</v>
      </c>
      <c r="L15" s="20">
        <v>46084</v>
      </c>
      <c r="M15" s="20">
        <v>46098</v>
      </c>
      <c r="N15" t="str">
        <f t="shared" si="1"/>
        <v>OK</v>
      </c>
    </row>
    <row r="16" spans="1:14" ht="43.2">
      <c r="A16" s="11" t="s">
        <v>21</v>
      </c>
      <c r="B16" s="5">
        <v>46069</v>
      </c>
      <c r="C16" s="5">
        <v>46097</v>
      </c>
      <c r="D16" s="4">
        <v>3</v>
      </c>
      <c r="E16" s="5">
        <v>46086</v>
      </c>
      <c r="F16" s="4">
        <v>413.36315917968801</v>
      </c>
      <c r="G16" s="15" t="s">
        <v>23</v>
      </c>
      <c r="H16" cm="1">
        <v>1</v>
      </c>
      <c r="I16" s="4" t="str">
        <f>IF(G16="","",IFERROR(INDEX(Sources!$A$2:$A$99,MATCH(G16,Sources!$B$2:$B$99,0)),"MISSING SOURCE"))</f>
        <v>E07</v>
      </c>
      <c r="J16" s="18">
        <v>46081</v>
      </c>
      <c r="K16" s="17" t="str">
        <f t="shared" si="0"/>
        <v>OK</v>
      </c>
      <c r="L16" s="20">
        <v>46084</v>
      </c>
      <c r="M16" s="20">
        <v>46098</v>
      </c>
      <c r="N16" t="str">
        <f t="shared" si="1"/>
        <v>OK</v>
      </c>
    </row>
    <row r="17" spans="1:14" ht="28.8">
      <c r="A17" s="11" t="s">
        <v>24</v>
      </c>
      <c r="B17" s="5">
        <v>42307</v>
      </c>
      <c r="C17" s="5">
        <v>42355</v>
      </c>
      <c r="D17" s="4">
        <v>1</v>
      </c>
      <c r="E17" s="5">
        <v>42325</v>
      </c>
      <c r="F17" s="4">
        <v>354.05187988281199</v>
      </c>
      <c r="G17" s="15" t="s">
        <v>93</v>
      </c>
      <c r="H17" cm="1">
        <v>2</v>
      </c>
      <c r="I17" s="4" t="str">
        <f>IF(G17="","",IFERROR(INDEX(Sources!$A$2:$A$99,MATCH(G17,Sources!$B$2:$B$99,0)),"MISSING SOURCE"))</f>
        <v>E03</v>
      </c>
      <c r="J17" s="18">
        <v>42321</v>
      </c>
      <c r="K17" s="17" t="str">
        <f t="shared" si="0"/>
        <v>OK</v>
      </c>
      <c r="L17" s="20">
        <v>42324</v>
      </c>
      <c r="M17" s="20">
        <v>42352</v>
      </c>
      <c r="N17" t="str">
        <f t="shared" si="1"/>
        <v>OK</v>
      </c>
    </row>
    <row r="18" spans="1:14" ht="28.8">
      <c r="A18" s="11" t="s">
        <v>24</v>
      </c>
      <c r="B18" s="5">
        <v>42307</v>
      </c>
      <c r="C18" s="5">
        <v>42355</v>
      </c>
      <c r="D18" s="4">
        <v>2</v>
      </c>
      <c r="E18" s="5">
        <v>42326</v>
      </c>
      <c r="F18" s="4">
        <v>309.495361328125</v>
      </c>
      <c r="G18" s="15" t="s">
        <v>93</v>
      </c>
      <c r="H18" cm="1">
        <v>2</v>
      </c>
      <c r="I18" s="4" t="str">
        <f>IF(G18="","",IFERROR(INDEX(Sources!$A$2:$A$99,MATCH(G18,Sources!$B$2:$B$99,0)),"MISSING SOURCE"))</f>
        <v>E03</v>
      </c>
      <c r="J18" s="18">
        <v>42321</v>
      </c>
      <c r="K18" s="17" t="str">
        <f t="shared" si="0"/>
        <v>OK</v>
      </c>
      <c r="L18" s="20">
        <v>42324</v>
      </c>
      <c r="M18" s="20">
        <v>42352</v>
      </c>
      <c r="N18" t="str">
        <f t="shared" si="1"/>
        <v>OK</v>
      </c>
    </row>
    <row r="19" spans="1:14" ht="43.2">
      <c r="A19" s="11" t="s">
        <v>24</v>
      </c>
      <c r="B19" s="5">
        <v>42307</v>
      </c>
      <c r="C19" s="5">
        <v>42355</v>
      </c>
      <c r="D19" s="4">
        <v>3</v>
      </c>
      <c r="E19" s="5">
        <v>42333</v>
      </c>
      <c r="F19" s="4">
        <v>247.6171875</v>
      </c>
      <c r="G19" s="15" t="s">
        <v>95</v>
      </c>
      <c r="H19" cm="1">
        <v>2</v>
      </c>
      <c r="I19" s="4" t="str">
        <f>IF(G19="","",IFERROR(INDEX(Sources!$A$2:$A$99,MATCH(G19,Sources!$B$2:$B$99,0)),"MISSING SOURCE"))</f>
        <v>E04</v>
      </c>
      <c r="J19" s="18">
        <v>42332</v>
      </c>
      <c r="K19" s="17" t="str">
        <f t="shared" si="0"/>
        <v>OK</v>
      </c>
      <c r="L19" s="20">
        <v>42324</v>
      </c>
      <c r="M19" s="20">
        <v>42352</v>
      </c>
      <c r="N19" t="str">
        <f t="shared" si="1"/>
        <v>OK</v>
      </c>
    </row>
    <row r="20" spans="1:14" ht="28.8">
      <c r="A20" s="11" t="s">
        <v>25</v>
      </c>
      <c r="B20" s="5">
        <v>42874</v>
      </c>
      <c r="C20" s="5">
        <v>42901</v>
      </c>
      <c r="D20" s="4">
        <v>1</v>
      </c>
      <c r="E20" s="5">
        <v>42893</v>
      </c>
      <c r="F20" s="4">
        <v>245.95683288574199</v>
      </c>
      <c r="G20" s="15" t="s">
        <v>97</v>
      </c>
      <c r="H20" cm="1">
        <v>3</v>
      </c>
      <c r="I20" s="4" t="str">
        <f>IF(G20="","",IFERROR(INDEX(Sources!$A$2:$A$99,MATCH(G20,Sources!$B$2:$B$99,0)),"MISSING SOURCE"))</f>
        <v>E08</v>
      </c>
      <c r="J20" s="18">
        <v>42893</v>
      </c>
      <c r="K20" s="17" t="str">
        <f t="shared" si="0"/>
        <v>OK</v>
      </c>
      <c r="L20" s="20">
        <v>42879</v>
      </c>
      <c r="M20" s="20">
        <v>42908</v>
      </c>
      <c r="N20" t="str">
        <f t="shared" si="1"/>
        <v>OK</v>
      </c>
    </row>
    <row r="21" spans="1:14" ht="28.8">
      <c r="A21" s="11" t="s">
        <v>25</v>
      </c>
      <c r="B21" s="5">
        <v>42874</v>
      </c>
      <c r="C21" s="5">
        <v>42901</v>
      </c>
      <c r="D21" s="4">
        <v>2</v>
      </c>
      <c r="E21" s="5">
        <v>42892</v>
      </c>
      <c r="F21" s="4">
        <v>227.27735900878901</v>
      </c>
      <c r="G21" s="15" t="s">
        <v>99</v>
      </c>
      <c r="H21" cm="1">
        <v>3</v>
      </c>
      <c r="I21" s="4" t="str">
        <f>IF(G21="","",IFERROR(INDEX(Sources!$A$2:$A$99,MATCH(G21,Sources!$B$2:$B$99,0)),"MISSING SOURCE"))</f>
        <v>E09</v>
      </c>
      <c r="J21" s="18">
        <v>42891</v>
      </c>
      <c r="K21" s="17" t="str">
        <f t="shared" si="0"/>
        <v>OK</v>
      </c>
      <c r="L21" s="20">
        <v>42879</v>
      </c>
      <c r="M21" s="20">
        <v>42908</v>
      </c>
      <c r="N21" t="str">
        <f t="shared" si="1"/>
        <v>OK</v>
      </c>
    </row>
    <row r="22" spans="1:14" ht="28.8">
      <c r="A22" s="11" t="s">
        <v>25</v>
      </c>
      <c r="B22" s="5">
        <v>42874</v>
      </c>
      <c r="C22" s="5">
        <v>42901</v>
      </c>
      <c r="D22" s="4">
        <v>3</v>
      </c>
      <c r="E22" s="5">
        <v>42881</v>
      </c>
      <c r="F22" s="4">
        <v>218.06872558593801</v>
      </c>
      <c r="G22" s="15" t="s">
        <v>299</v>
      </c>
      <c r="H22" cm="1">
        <v>3</v>
      </c>
      <c r="I22" s="4" t="str">
        <f>IF(G22="","",IFERROR(INDEX(Sources!$A$2:$A$99,MATCH(G22,Sources!$B$2:$B$99,0)),"MISSING SOURCE"))</f>
        <v>E37</v>
      </c>
      <c r="J22" s="18">
        <v>42881</v>
      </c>
      <c r="K22" s="17" t="str">
        <f t="shared" si="0"/>
        <v>OK</v>
      </c>
      <c r="L22" s="20">
        <v>42879</v>
      </c>
      <c r="M22" s="20">
        <v>42908</v>
      </c>
      <c r="N22" t="str">
        <f t="shared" si="1"/>
        <v>OK</v>
      </c>
    </row>
    <row r="23" spans="1:14" ht="43.2">
      <c r="A23" s="11" t="s">
        <v>26</v>
      </c>
      <c r="B23" s="5">
        <v>43728</v>
      </c>
      <c r="C23" s="5">
        <v>43746</v>
      </c>
      <c r="D23" s="4">
        <v>1</v>
      </c>
      <c r="E23" s="5">
        <v>43725</v>
      </c>
      <c r="F23" s="4">
        <v>253.34211730957</v>
      </c>
      <c r="G23" s="15" t="s">
        <v>102</v>
      </c>
      <c r="H23" cm="1">
        <v>2</v>
      </c>
      <c r="I23" s="4" t="str">
        <f>IF(G23="","",IFERROR(INDEX(Sources!$A$2:$A$99,MATCH(G23,Sources!$B$2:$B$99,0)),"MISSING SOURCE"))</f>
        <v>E10</v>
      </c>
      <c r="J23" s="18">
        <v>43722</v>
      </c>
      <c r="K23" s="17" t="str">
        <f t="shared" si="0"/>
        <v>OK</v>
      </c>
      <c r="L23" s="20">
        <v>43725</v>
      </c>
      <c r="M23" s="20">
        <v>43754</v>
      </c>
      <c r="N23" t="str">
        <f t="shared" si="1"/>
        <v>OK</v>
      </c>
    </row>
    <row r="24" spans="1:14" ht="28.8">
      <c r="A24" s="11" t="s">
        <v>26</v>
      </c>
      <c r="B24" s="5">
        <v>43728</v>
      </c>
      <c r="C24" s="5">
        <v>43746</v>
      </c>
      <c r="D24" s="4">
        <v>2</v>
      </c>
      <c r="E24" s="5">
        <v>43749</v>
      </c>
      <c r="F24" s="4">
        <v>204.31848144531199</v>
      </c>
      <c r="G24" s="15" t="s">
        <v>104</v>
      </c>
      <c r="H24" cm="1">
        <v>2</v>
      </c>
      <c r="I24" s="4" t="str">
        <f>IF(G24="","",IFERROR(INDEX(Sources!$A$2:$A$99,MATCH(G24,Sources!$B$2:$B$99,0)),"MISSING SOURCE"))</f>
        <v>E11</v>
      </c>
      <c r="J24" s="18">
        <v>43747</v>
      </c>
      <c r="K24" s="17" t="str">
        <f t="shared" si="0"/>
        <v>OK</v>
      </c>
      <c r="L24" s="20">
        <v>43725</v>
      </c>
      <c r="M24" s="20">
        <v>43754</v>
      </c>
      <c r="N24" t="str">
        <f t="shared" si="1"/>
        <v>OK</v>
      </c>
    </row>
    <row r="25" spans="1:14" ht="28.8">
      <c r="A25" s="11" t="s">
        <v>26</v>
      </c>
      <c r="B25" s="5">
        <v>43728</v>
      </c>
      <c r="C25" s="5">
        <v>43746</v>
      </c>
      <c r="D25" s="4">
        <v>3</v>
      </c>
      <c r="E25" s="5">
        <v>43754</v>
      </c>
      <c r="F25" s="4">
        <v>193.50186157226599</v>
      </c>
      <c r="G25" s="15" t="s">
        <v>104</v>
      </c>
      <c r="H25" cm="1">
        <v>2</v>
      </c>
      <c r="I25" s="4" t="str">
        <f>IF(G25="","",IFERROR(INDEX(Sources!$A$2:$A$99,MATCH(G25,Sources!$B$2:$B$99,0)),"MISSING SOURCE"))</f>
        <v>E11</v>
      </c>
      <c r="J25" s="18">
        <v>43747</v>
      </c>
      <c r="K25" s="17" t="str">
        <f t="shared" si="0"/>
        <v>OK</v>
      </c>
      <c r="L25" s="20">
        <v>43725</v>
      </c>
      <c r="M25" s="20">
        <v>43754</v>
      </c>
      <c r="N25" t="str">
        <f t="shared" si="1"/>
        <v>OK</v>
      </c>
    </row>
    <row r="26" spans="1:14" ht="28.8">
      <c r="A26" s="11" t="s">
        <v>27</v>
      </c>
      <c r="B26" s="5">
        <v>45062</v>
      </c>
      <c r="C26" s="5">
        <v>45077</v>
      </c>
      <c r="D26" s="4">
        <v>1</v>
      </c>
      <c r="E26" s="5">
        <v>45077</v>
      </c>
      <c r="F26" s="4">
        <v>219.58306884765599</v>
      </c>
      <c r="G26" s="15" t="s">
        <v>29</v>
      </c>
      <c r="H26" cm="1">
        <v>1</v>
      </c>
      <c r="I26" s="4" t="str">
        <f>IF(G26="","",IFERROR(INDEX(Sources!$A$2:$A$99,MATCH(G26,Sources!$B$2:$B$99,0)),"MISSING SOURCE"))</f>
        <v>E12</v>
      </c>
      <c r="J26" s="18">
        <v>45068</v>
      </c>
      <c r="K26" s="17" t="str">
        <f t="shared" si="0"/>
        <v>OK</v>
      </c>
      <c r="L26" s="20">
        <v>45056</v>
      </c>
      <c r="M26" s="20">
        <v>45084</v>
      </c>
      <c r="N26" t="str">
        <f t="shared" si="1"/>
        <v>OK</v>
      </c>
    </row>
    <row r="27" spans="1:14" ht="28.8">
      <c r="A27" s="11" t="s">
        <v>27</v>
      </c>
      <c r="B27" s="5">
        <v>45062</v>
      </c>
      <c r="C27" s="5">
        <v>45077</v>
      </c>
      <c r="D27" s="4">
        <v>2</v>
      </c>
      <c r="E27" s="5">
        <v>45069</v>
      </c>
      <c r="F27" s="4">
        <v>183.69136047363301</v>
      </c>
      <c r="G27" s="15" t="s">
        <v>29</v>
      </c>
      <c r="H27" cm="1">
        <v>1</v>
      </c>
      <c r="I27" s="4" t="str">
        <f>IF(G27="","",IFERROR(INDEX(Sources!$A$2:$A$99,MATCH(G27,Sources!$B$2:$B$99,0)),"MISSING SOURCE"))</f>
        <v>E12</v>
      </c>
      <c r="J27" s="18">
        <v>45068</v>
      </c>
      <c r="K27" s="17" t="str">
        <f t="shared" si="0"/>
        <v>OK</v>
      </c>
      <c r="L27" s="20">
        <v>45056</v>
      </c>
      <c r="M27" s="20">
        <v>45084</v>
      </c>
      <c r="N27" t="str">
        <f t="shared" si="1"/>
        <v>OK</v>
      </c>
    </row>
    <row r="28" spans="1:14" ht="28.8">
      <c r="A28" s="11" t="s">
        <v>27</v>
      </c>
      <c r="B28" s="5">
        <v>45062</v>
      </c>
      <c r="C28" s="5">
        <v>45077</v>
      </c>
      <c r="D28" s="4">
        <v>3</v>
      </c>
      <c r="E28" s="5">
        <v>45078</v>
      </c>
      <c r="F28" s="4">
        <v>182.39715576171901</v>
      </c>
      <c r="G28" s="15" t="s">
        <v>29</v>
      </c>
      <c r="H28" cm="1">
        <v>1</v>
      </c>
      <c r="I28" s="4" t="str">
        <f>IF(G28="","",IFERROR(INDEX(Sources!$A$2:$A$99,MATCH(G28,Sources!$B$2:$B$99,0)),"MISSING SOURCE"))</f>
        <v>E12</v>
      </c>
      <c r="J28" s="18">
        <v>45068</v>
      </c>
      <c r="K28" s="17" t="str">
        <f t="shared" si="0"/>
        <v>OK</v>
      </c>
      <c r="L28" s="20">
        <v>45056</v>
      </c>
      <c r="M28" s="20">
        <v>45084</v>
      </c>
      <c r="N28" t="str">
        <f t="shared" si="1"/>
        <v>OK</v>
      </c>
    </row>
    <row r="29" spans="1:14" ht="43.2">
      <c r="A29" s="11" t="s">
        <v>30</v>
      </c>
      <c r="B29" s="5">
        <v>46064</v>
      </c>
      <c r="C29" s="5">
        <v>46104</v>
      </c>
      <c r="D29" s="4">
        <v>1</v>
      </c>
      <c r="E29" s="5">
        <v>46085</v>
      </c>
      <c r="F29" s="4">
        <v>465.91864013671898</v>
      </c>
      <c r="G29" s="15" t="s">
        <v>23</v>
      </c>
      <c r="H29" cm="1">
        <v>2</v>
      </c>
      <c r="I29" s="4" t="str">
        <f>IF(G29="","",IFERROR(INDEX(Sources!$A$2:$A$99,MATCH(G29,Sources!$B$2:$B$99,0)),"MISSING SOURCE"))</f>
        <v>E07</v>
      </c>
      <c r="J29" s="18">
        <v>46081</v>
      </c>
      <c r="K29" s="17" t="str">
        <f t="shared" si="0"/>
        <v>OK</v>
      </c>
      <c r="L29" s="20">
        <v>46084</v>
      </c>
      <c r="M29" s="20">
        <v>46112</v>
      </c>
      <c r="N29" t="str">
        <f t="shared" si="1"/>
        <v>OK</v>
      </c>
    </row>
    <row r="30" spans="1:14" ht="43.2">
      <c r="A30" s="11" t="s">
        <v>30</v>
      </c>
      <c r="B30" s="5">
        <v>46064</v>
      </c>
      <c r="C30" s="5">
        <v>46104</v>
      </c>
      <c r="D30" s="4">
        <v>2</v>
      </c>
      <c r="E30" s="5">
        <v>46091</v>
      </c>
      <c r="F30" s="4">
        <v>457.110595703125</v>
      </c>
      <c r="G30" s="15" t="s">
        <v>23</v>
      </c>
      <c r="H30" cm="1">
        <v>2</v>
      </c>
      <c r="I30" s="4" t="str">
        <f>IF(G30="","",IFERROR(INDEX(Sources!$A$2:$A$99,MATCH(G30,Sources!$B$2:$B$99,0)),"MISSING SOURCE"))</f>
        <v>E07</v>
      </c>
      <c r="J30" s="18">
        <v>46081</v>
      </c>
      <c r="K30" s="17" t="str">
        <f t="shared" si="0"/>
        <v>OK</v>
      </c>
      <c r="L30" s="20">
        <v>46084</v>
      </c>
      <c r="M30" s="20">
        <v>46112</v>
      </c>
      <c r="N30" t="str">
        <f t="shared" si="1"/>
        <v>OK</v>
      </c>
    </row>
    <row r="31" spans="1:14" ht="43.2">
      <c r="A31" s="11" t="s">
        <v>30</v>
      </c>
      <c r="B31" s="5">
        <v>46064</v>
      </c>
      <c r="C31" s="5">
        <v>46104</v>
      </c>
      <c r="D31" s="4">
        <v>3</v>
      </c>
      <c r="E31" s="5">
        <v>46112</v>
      </c>
      <c r="F31" s="4">
        <v>447.822265625</v>
      </c>
      <c r="G31" s="15" t="s">
        <v>106</v>
      </c>
      <c r="H31" cm="1">
        <v>2</v>
      </c>
      <c r="I31" s="4" t="str">
        <f>IF(G31="","",IFERROR(INDEX(Sources!$A$2:$A$99,MATCH(G31,Sources!$B$2:$B$99,0)),"MISSING SOURCE"))</f>
        <v>E13</v>
      </c>
      <c r="J31" s="18">
        <v>46112</v>
      </c>
      <c r="K31" s="17" t="str">
        <f t="shared" si="0"/>
        <v>OK</v>
      </c>
      <c r="L31" s="20">
        <v>46084</v>
      </c>
      <c r="M31" s="20">
        <v>46112</v>
      </c>
      <c r="N31" t="str">
        <f t="shared" si="1"/>
        <v>OK</v>
      </c>
    </row>
    <row r="32" spans="1:14" ht="43.2">
      <c r="A32" s="11" t="s">
        <v>31</v>
      </c>
      <c r="B32" s="5">
        <v>44309</v>
      </c>
      <c r="C32" s="5">
        <v>44334</v>
      </c>
      <c r="D32" s="4">
        <v>1</v>
      </c>
      <c r="E32" s="5">
        <v>44300</v>
      </c>
      <c r="F32" s="4">
        <v>186.30352783203099</v>
      </c>
      <c r="G32" s="15" t="s">
        <v>108</v>
      </c>
      <c r="H32" cm="1">
        <v>2</v>
      </c>
      <c r="I32" s="4" t="str">
        <f>IF(G32="","",IFERROR(INDEX(Sources!$A$2:$A$99,MATCH(G32,Sources!$B$2:$B$99,0)),"MISSING SOURCE"))</f>
        <v>E14</v>
      </c>
      <c r="J32" s="18">
        <v>44300</v>
      </c>
      <c r="K32" s="17" t="str">
        <f t="shared" si="0"/>
        <v>OK</v>
      </c>
      <c r="L32" s="20">
        <v>44300</v>
      </c>
      <c r="M32" s="20">
        <v>44343</v>
      </c>
      <c r="N32" t="str">
        <f t="shared" si="1"/>
        <v>OK</v>
      </c>
    </row>
    <row r="33" spans="1:14" ht="43.2">
      <c r="A33" s="11" t="s">
        <v>31</v>
      </c>
      <c r="B33" s="5">
        <v>44309</v>
      </c>
      <c r="C33" s="5">
        <v>44334</v>
      </c>
      <c r="D33" s="4">
        <v>2</v>
      </c>
      <c r="E33" s="5">
        <v>44342</v>
      </c>
      <c r="F33" s="4">
        <v>176.61283874511699</v>
      </c>
      <c r="G33" s="15" t="s">
        <v>17</v>
      </c>
      <c r="H33" cm="1">
        <v>2</v>
      </c>
      <c r="I33" s="4" t="str">
        <f>IF(G33="","",IFERROR(INDEX(Sources!$A$2:$A$99,MATCH(G33,Sources!$B$2:$B$99,0)),"MISSING SOURCE"))</f>
        <v>E05</v>
      </c>
      <c r="J33" s="18">
        <v>44337</v>
      </c>
      <c r="K33" s="17" t="str">
        <f t="shared" si="0"/>
        <v>OK</v>
      </c>
      <c r="L33" s="20">
        <v>44300</v>
      </c>
      <c r="M33" s="20">
        <v>44343</v>
      </c>
      <c r="N33" t="str">
        <f t="shared" si="1"/>
        <v>OK</v>
      </c>
    </row>
    <row r="34" spans="1:14" ht="43.2">
      <c r="A34" s="11" t="s">
        <v>31</v>
      </c>
      <c r="B34" s="5">
        <v>44309</v>
      </c>
      <c r="C34" s="5">
        <v>44334</v>
      </c>
      <c r="D34" s="4">
        <v>3</v>
      </c>
      <c r="E34" s="5">
        <v>44341</v>
      </c>
      <c r="F34" s="4">
        <v>170.94143676757801</v>
      </c>
      <c r="G34" s="15" t="s">
        <v>17</v>
      </c>
      <c r="H34" cm="1">
        <v>2</v>
      </c>
      <c r="I34" s="4" t="str">
        <f>IF(G34="","",IFERROR(INDEX(Sources!$A$2:$A$99,MATCH(G34,Sources!$B$2:$B$99,0)),"MISSING SOURCE"))</f>
        <v>E05</v>
      </c>
      <c r="J34" s="18">
        <v>44337</v>
      </c>
      <c r="K34" s="17" t="str">
        <f t="shared" si="0"/>
        <v>OK</v>
      </c>
      <c r="L34" s="20">
        <v>44300</v>
      </c>
      <c r="M34" s="20">
        <v>44343</v>
      </c>
      <c r="N34" t="str">
        <f t="shared" si="1"/>
        <v>OK</v>
      </c>
    </row>
    <row r="35" spans="1:14" ht="43.2">
      <c r="A35" s="11" t="s">
        <v>32</v>
      </c>
      <c r="B35" s="5">
        <v>44334</v>
      </c>
      <c r="C35" s="5">
        <v>44369</v>
      </c>
      <c r="D35" s="4">
        <v>1</v>
      </c>
      <c r="E35" s="5">
        <v>44342</v>
      </c>
      <c r="F35" s="4">
        <v>176.61283874511699</v>
      </c>
      <c r="G35" s="15" t="s">
        <v>17</v>
      </c>
      <c r="H35" cm="1">
        <v>1</v>
      </c>
      <c r="I35" s="4" t="str">
        <f>IF(G35="","",IFERROR(INDEX(Sources!$A$2:$A$99,MATCH(G35,Sources!$B$2:$B$99,0)),"MISSING SOURCE"))</f>
        <v>E05</v>
      </c>
      <c r="J35" s="18">
        <v>44337</v>
      </c>
      <c r="K35" s="17" t="str">
        <f t="shared" si="0"/>
        <v>OK</v>
      </c>
      <c r="L35" s="20">
        <v>44327</v>
      </c>
      <c r="M35" s="20">
        <v>44370</v>
      </c>
      <c r="N35" t="str">
        <f t="shared" si="1"/>
        <v>OK</v>
      </c>
    </row>
    <row r="36" spans="1:14" ht="43.2">
      <c r="A36" s="11" t="s">
        <v>32</v>
      </c>
      <c r="B36" s="5">
        <v>44334</v>
      </c>
      <c r="C36" s="5">
        <v>44369</v>
      </c>
      <c r="D36" s="4">
        <v>2</v>
      </c>
      <c r="E36" s="5">
        <v>44341</v>
      </c>
      <c r="F36" s="4">
        <v>170.94143676757801</v>
      </c>
      <c r="G36" s="15" t="s">
        <v>17</v>
      </c>
      <c r="H36" cm="1">
        <v>1</v>
      </c>
      <c r="I36" s="4" t="str">
        <f>IF(G36="","",IFERROR(INDEX(Sources!$A$2:$A$99,MATCH(G36,Sources!$B$2:$B$99,0)),"MISSING SOURCE"))</f>
        <v>E05</v>
      </c>
      <c r="J36" s="18">
        <v>44337</v>
      </c>
      <c r="K36" s="17" t="str">
        <f t="shared" si="0"/>
        <v>OK</v>
      </c>
      <c r="L36" s="20">
        <v>44327</v>
      </c>
      <c r="M36" s="20">
        <v>44370</v>
      </c>
      <c r="N36" t="str">
        <f t="shared" si="1"/>
        <v>OK</v>
      </c>
    </row>
    <row r="37" spans="1:14" ht="43.2">
      <c r="A37" s="11" t="s">
        <v>32</v>
      </c>
      <c r="B37" s="5">
        <v>44334</v>
      </c>
      <c r="C37" s="5">
        <v>44369</v>
      </c>
      <c r="D37" s="4">
        <v>3</v>
      </c>
      <c r="E37" s="5">
        <v>44369</v>
      </c>
      <c r="F37" s="4">
        <v>170.60433959960901</v>
      </c>
      <c r="G37" s="15" t="s">
        <v>17</v>
      </c>
      <c r="H37" cm="1">
        <v>1</v>
      </c>
      <c r="I37" s="4" t="str">
        <f>IF(G37="","",IFERROR(INDEX(Sources!$A$2:$A$99,MATCH(G37,Sources!$B$2:$B$99,0)),"MISSING SOURCE"))</f>
        <v>E05</v>
      </c>
      <c r="J37" s="18">
        <v>44337</v>
      </c>
      <c r="K37" s="17" t="str">
        <f t="shared" si="0"/>
        <v>OK</v>
      </c>
      <c r="L37" s="20">
        <v>44327</v>
      </c>
      <c r="M37" s="20">
        <v>44370</v>
      </c>
      <c r="N37" t="str">
        <f t="shared" si="1"/>
        <v>OK</v>
      </c>
    </row>
    <row r="38" spans="1:14" ht="28.8">
      <c r="A38" s="11" t="s">
        <v>33</v>
      </c>
      <c r="B38" s="5">
        <v>45215</v>
      </c>
      <c r="C38" s="5">
        <v>45251</v>
      </c>
      <c r="D38" s="4">
        <v>1</v>
      </c>
      <c r="E38" s="5">
        <v>45218</v>
      </c>
      <c r="F38" s="4">
        <v>338.85171508789102</v>
      </c>
      <c r="G38" s="15" t="s">
        <v>35</v>
      </c>
      <c r="H38" cm="1">
        <v>1</v>
      </c>
      <c r="I38" s="4" t="str">
        <f>IF(G38="","",IFERROR(INDEX(Sources!$A$2:$A$99,MATCH(G38,Sources!$B$2:$B$99,0)),"MISSING SOURCE"))</f>
        <v>E15</v>
      </c>
      <c r="J38" s="18">
        <v>45206</v>
      </c>
      <c r="K38" s="17" t="str">
        <f t="shared" si="0"/>
        <v>OK</v>
      </c>
      <c r="L38" s="20">
        <v>45205</v>
      </c>
      <c r="M38" s="20">
        <v>45247</v>
      </c>
      <c r="N38" t="str">
        <f t="shared" si="1"/>
        <v>OK</v>
      </c>
    </row>
    <row r="39" spans="1:14" ht="28.8">
      <c r="A39" s="11" t="s">
        <v>33</v>
      </c>
      <c r="B39" s="5">
        <v>45215</v>
      </c>
      <c r="C39" s="5">
        <v>45251</v>
      </c>
      <c r="D39" s="4">
        <v>2</v>
      </c>
      <c r="E39" s="5">
        <v>45217</v>
      </c>
      <c r="F39" s="4">
        <v>333.00942993164102</v>
      </c>
      <c r="G39" s="15" t="s">
        <v>35</v>
      </c>
      <c r="H39" cm="1">
        <v>1</v>
      </c>
      <c r="I39" s="4" t="str">
        <f>IF(G39="","",IFERROR(INDEX(Sources!$A$2:$A$99,MATCH(G39,Sources!$B$2:$B$99,0)),"MISSING SOURCE"))</f>
        <v>E15</v>
      </c>
      <c r="J39" s="18">
        <v>45206</v>
      </c>
      <c r="K39" s="17" t="str">
        <f t="shared" si="0"/>
        <v>OK</v>
      </c>
      <c r="L39" s="20">
        <v>45205</v>
      </c>
      <c r="M39" s="20">
        <v>45247</v>
      </c>
      <c r="N39" t="str">
        <f t="shared" si="1"/>
        <v>OK</v>
      </c>
    </row>
    <row r="40" spans="1:14" ht="28.8">
      <c r="A40" s="11" t="s">
        <v>33</v>
      </c>
      <c r="B40" s="5">
        <v>45215</v>
      </c>
      <c r="C40" s="5">
        <v>45251</v>
      </c>
      <c r="D40" s="4">
        <v>3</v>
      </c>
      <c r="E40" s="5">
        <v>45219</v>
      </c>
      <c r="F40" s="4">
        <v>298.62881469726602</v>
      </c>
      <c r="G40" s="15" t="s">
        <v>35</v>
      </c>
      <c r="H40" cm="1">
        <v>1</v>
      </c>
      <c r="I40" s="4" t="str">
        <f>IF(G40="","",IFERROR(INDEX(Sources!$A$2:$A$99,MATCH(G40,Sources!$B$2:$B$99,0)),"MISSING SOURCE"))</f>
        <v>E15</v>
      </c>
      <c r="J40" s="18">
        <v>45206</v>
      </c>
      <c r="K40" s="17" t="str">
        <f t="shared" si="0"/>
        <v>OK</v>
      </c>
      <c r="L40" s="20">
        <v>45205</v>
      </c>
      <c r="M40" s="20">
        <v>45247</v>
      </c>
      <c r="N40" t="str">
        <f t="shared" si="1"/>
        <v>OK</v>
      </c>
    </row>
    <row r="41" spans="1:14" ht="28.8">
      <c r="A41" s="11" t="s">
        <v>36</v>
      </c>
      <c r="B41" s="5">
        <v>45805</v>
      </c>
      <c r="C41" s="5">
        <v>45821</v>
      </c>
      <c r="D41" s="4">
        <v>1</v>
      </c>
      <c r="E41" s="5">
        <v>45832</v>
      </c>
      <c r="F41" s="4">
        <v>351.72052001953102</v>
      </c>
      <c r="G41" s="15" t="s">
        <v>38</v>
      </c>
      <c r="H41" cm="1">
        <v>1</v>
      </c>
      <c r="I41" s="4" t="str">
        <f>IF(G41="","",IFERROR(INDEX(Sources!$A$2:$A$99,MATCH(G41,Sources!$B$2:$B$99,0)),"MISSING SOURCE"))</f>
        <v>E16</v>
      </c>
      <c r="J41" s="18">
        <v>45821</v>
      </c>
      <c r="K41" s="17" t="str">
        <f t="shared" si="0"/>
        <v>OK</v>
      </c>
      <c r="L41" s="20">
        <v>45792</v>
      </c>
      <c r="M41" s="20">
        <v>45835</v>
      </c>
      <c r="N41" t="str">
        <f t="shared" si="1"/>
        <v>OK</v>
      </c>
    </row>
    <row r="42" spans="1:14" ht="28.8">
      <c r="A42" s="11" t="s">
        <v>36</v>
      </c>
      <c r="B42" s="5">
        <v>45805</v>
      </c>
      <c r="C42" s="5">
        <v>45821</v>
      </c>
      <c r="D42" s="4">
        <v>2</v>
      </c>
      <c r="E42" s="5">
        <v>45833</v>
      </c>
      <c r="F42" s="4">
        <v>328.47311401367199</v>
      </c>
      <c r="G42" s="15" t="s">
        <v>38</v>
      </c>
      <c r="H42" cm="1">
        <v>1</v>
      </c>
      <c r="I42" s="4" t="str">
        <f>IF(G42="","",IFERROR(INDEX(Sources!$A$2:$A$99,MATCH(G42,Sources!$B$2:$B$99,0)),"MISSING SOURCE"))</f>
        <v>E16</v>
      </c>
      <c r="J42" s="18">
        <v>45821</v>
      </c>
      <c r="K42" s="17" t="str">
        <f t="shared" si="0"/>
        <v>OK</v>
      </c>
      <c r="L42" s="20">
        <v>45792</v>
      </c>
      <c r="M42" s="20">
        <v>45835</v>
      </c>
      <c r="N42" t="str">
        <f t="shared" si="1"/>
        <v>OK</v>
      </c>
    </row>
    <row r="43" spans="1:14" ht="28.8">
      <c r="A43" s="11" t="s">
        <v>36</v>
      </c>
      <c r="B43" s="5">
        <v>45805</v>
      </c>
      <c r="C43" s="5">
        <v>45821</v>
      </c>
      <c r="D43" s="4">
        <v>3</v>
      </c>
      <c r="E43" s="5">
        <v>45826</v>
      </c>
      <c r="F43" s="4">
        <v>320.77005004882801</v>
      </c>
      <c r="G43" s="15" t="s">
        <v>38</v>
      </c>
      <c r="H43" cm="1">
        <v>1</v>
      </c>
      <c r="I43" s="4" t="str">
        <f>IF(G43="","",IFERROR(INDEX(Sources!$A$2:$A$99,MATCH(G43,Sources!$B$2:$B$99,0)),"MISSING SOURCE"))</f>
        <v>E16</v>
      </c>
      <c r="J43" s="18">
        <v>45821</v>
      </c>
      <c r="K43" s="17" t="str">
        <f t="shared" si="0"/>
        <v>OK</v>
      </c>
      <c r="L43" s="20">
        <v>45792</v>
      </c>
      <c r="M43" s="20">
        <v>45835</v>
      </c>
      <c r="N43" t="str">
        <f t="shared" si="1"/>
        <v>OK</v>
      </c>
    </row>
    <row r="44" spans="1:14" ht="43.2">
      <c r="A44" s="11" t="s">
        <v>39</v>
      </c>
      <c r="B44" s="5">
        <v>46057</v>
      </c>
      <c r="C44" s="5">
        <v>46155</v>
      </c>
      <c r="D44" s="4">
        <v>1</v>
      </c>
      <c r="E44" s="5">
        <v>46085</v>
      </c>
      <c r="F44" s="4">
        <v>465.91864013671898</v>
      </c>
      <c r="G44" s="15" t="s">
        <v>23</v>
      </c>
      <c r="H44" cm="1">
        <v>2</v>
      </c>
      <c r="I44" s="4" t="str">
        <f>IF(G44="","",IFERROR(INDEX(Sources!$A$2:$A$99,MATCH(G44,Sources!$B$2:$B$99,0)),"MISSING SOURCE"))</f>
        <v>E07</v>
      </c>
      <c r="J44" s="18">
        <v>46081</v>
      </c>
      <c r="K44" s="17" t="str">
        <f t="shared" si="0"/>
        <v>OK</v>
      </c>
      <c r="L44" s="20">
        <v>46084</v>
      </c>
      <c r="M44" s="20">
        <v>46128</v>
      </c>
      <c r="N44" t="str">
        <f t="shared" si="1"/>
        <v>OK</v>
      </c>
    </row>
    <row r="45" spans="1:14" ht="43.2">
      <c r="A45" s="11" t="s">
        <v>39</v>
      </c>
      <c r="B45" s="5">
        <v>46057</v>
      </c>
      <c r="C45" s="5">
        <v>46155</v>
      </c>
      <c r="D45" s="4">
        <v>2</v>
      </c>
      <c r="E45" s="5">
        <v>46091</v>
      </c>
      <c r="F45" s="4">
        <v>457.110595703125</v>
      </c>
      <c r="G45" s="15" t="s">
        <v>23</v>
      </c>
      <c r="H45" cm="1">
        <v>2</v>
      </c>
      <c r="I45" s="4" t="str">
        <f>IF(G45="","",IFERROR(INDEX(Sources!$A$2:$A$99,MATCH(G45,Sources!$B$2:$B$99,0)),"MISSING SOURCE"))</f>
        <v>E07</v>
      </c>
      <c r="J45" s="18">
        <v>46081</v>
      </c>
      <c r="K45" s="17" t="str">
        <f t="shared" si="0"/>
        <v>OK</v>
      </c>
      <c r="L45" s="20">
        <v>46084</v>
      </c>
      <c r="M45" s="20">
        <v>46128</v>
      </c>
      <c r="N45" t="str">
        <f t="shared" si="1"/>
        <v>OK</v>
      </c>
    </row>
    <row r="46" spans="1:14" ht="43.2">
      <c r="A46" s="11" t="s">
        <v>39</v>
      </c>
      <c r="B46" s="5">
        <v>46057</v>
      </c>
      <c r="C46" s="5">
        <v>46155</v>
      </c>
      <c r="D46" s="4">
        <v>3</v>
      </c>
      <c r="E46" s="5">
        <v>46112</v>
      </c>
      <c r="F46" s="4">
        <v>447.822265625</v>
      </c>
      <c r="G46" s="15" t="s">
        <v>106</v>
      </c>
      <c r="H46" cm="1">
        <v>2</v>
      </c>
      <c r="I46" s="4" t="str">
        <f>IF(G46="","",IFERROR(INDEX(Sources!$A$2:$A$99,MATCH(G46,Sources!$B$2:$B$99,0)),"MISSING SOURCE"))</f>
        <v>E13</v>
      </c>
      <c r="J46" s="18">
        <v>46112</v>
      </c>
      <c r="K46" s="17" t="str">
        <f t="shared" si="0"/>
        <v>OK</v>
      </c>
      <c r="L46" s="20">
        <v>46084</v>
      </c>
      <c r="M46" s="20">
        <v>46128</v>
      </c>
      <c r="N46" t="str">
        <f t="shared" si="1"/>
        <v>OK</v>
      </c>
    </row>
    <row r="47" spans="1:14" ht="28.8">
      <c r="A47" s="11" t="s">
        <v>40</v>
      </c>
      <c r="B47" s="5">
        <v>42313</v>
      </c>
      <c r="C47" s="5">
        <v>42338</v>
      </c>
      <c r="D47" s="4">
        <v>1</v>
      </c>
      <c r="E47" s="5">
        <v>42325</v>
      </c>
      <c r="F47" s="4">
        <v>551.20111083984398</v>
      </c>
      <c r="G47" s="15" t="s">
        <v>93</v>
      </c>
      <c r="H47" cm="1">
        <v>2</v>
      </c>
      <c r="I47" s="4" t="str">
        <f>IF(G47="","",IFERROR(INDEX(Sources!$A$2:$A$99,MATCH(G47,Sources!$B$2:$B$99,0)),"MISSING SOURCE"))</f>
        <v>E03</v>
      </c>
      <c r="J47" s="18">
        <v>42321</v>
      </c>
      <c r="K47" s="17" t="str">
        <f t="shared" si="0"/>
        <v>OK</v>
      </c>
      <c r="L47" s="20">
        <v>42324</v>
      </c>
      <c r="M47" s="20">
        <v>42338</v>
      </c>
      <c r="N47" t="str">
        <f t="shared" si="1"/>
        <v>OK</v>
      </c>
    </row>
    <row r="48" spans="1:14" ht="28.8">
      <c r="A48" s="11" t="s">
        <v>40</v>
      </c>
      <c r="B48" s="5">
        <v>42313</v>
      </c>
      <c r="C48" s="5">
        <v>42338</v>
      </c>
      <c r="D48" s="4">
        <v>2</v>
      </c>
      <c r="E48" s="5">
        <v>42326</v>
      </c>
      <c r="F48" s="4">
        <v>520.66583251953102</v>
      </c>
      <c r="G48" s="15" t="s">
        <v>93</v>
      </c>
      <c r="H48" cm="1">
        <v>2</v>
      </c>
      <c r="I48" s="4" t="str">
        <f>IF(G48="","",IFERROR(INDEX(Sources!$A$2:$A$99,MATCH(G48,Sources!$B$2:$B$99,0)),"MISSING SOURCE"))</f>
        <v>E03</v>
      </c>
      <c r="J48" s="18">
        <v>42321</v>
      </c>
      <c r="K48" s="17" t="str">
        <f t="shared" si="0"/>
        <v>OK</v>
      </c>
      <c r="L48" s="20">
        <v>42324</v>
      </c>
      <c r="M48" s="20">
        <v>42338</v>
      </c>
      <c r="N48" t="str">
        <f t="shared" si="1"/>
        <v>OK</v>
      </c>
    </row>
    <row r="49" spans="1:14" ht="43.2">
      <c r="A49" s="11" t="s">
        <v>40</v>
      </c>
      <c r="B49" s="5">
        <v>42313</v>
      </c>
      <c r="C49" s="5">
        <v>42338</v>
      </c>
      <c r="D49" s="4">
        <v>3</v>
      </c>
      <c r="E49" s="5">
        <v>42333</v>
      </c>
      <c r="F49" s="4">
        <v>394.968017578125</v>
      </c>
      <c r="G49" s="15" t="s">
        <v>95</v>
      </c>
      <c r="H49" cm="1">
        <v>2</v>
      </c>
      <c r="I49" s="4" t="str">
        <f>IF(G49="","",IFERROR(INDEX(Sources!$A$2:$A$99,MATCH(G49,Sources!$B$2:$B$99,0)),"MISSING SOURCE"))</f>
        <v>E04</v>
      </c>
      <c r="J49" s="18">
        <v>42332</v>
      </c>
      <c r="K49" s="17" t="str">
        <f t="shared" si="0"/>
        <v>OK</v>
      </c>
      <c r="L49" s="20">
        <v>42324</v>
      </c>
      <c r="M49" s="20">
        <v>42338</v>
      </c>
      <c r="N49" t="str">
        <f t="shared" si="1"/>
        <v>OK</v>
      </c>
    </row>
    <row r="50" spans="1:14" ht="43.2">
      <c r="A50" s="11" t="s">
        <v>41</v>
      </c>
      <c r="B50" s="5">
        <v>43823</v>
      </c>
      <c r="C50" s="5">
        <v>43857</v>
      </c>
      <c r="D50" s="4">
        <v>1</v>
      </c>
      <c r="E50" s="5">
        <v>43839</v>
      </c>
      <c r="F50" s="4">
        <v>339.62139892578102</v>
      </c>
      <c r="G50" s="15" t="s">
        <v>110</v>
      </c>
      <c r="H50" cm="1">
        <v>2</v>
      </c>
      <c r="I50" s="4" t="str">
        <f>IF(G50="","",IFERROR(INDEX(Sources!$A$2:$A$99,MATCH(G50,Sources!$B$2:$B$99,0)),"MISSING SOURCE"))</f>
        <v>E17</v>
      </c>
      <c r="J50" s="18">
        <v>43838</v>
      </c>
      <c r="K50" s="17" t="str">
        <f t="shared" si="0"/>
        <v>OK</v>
      </c>
      <c r="L50" s="20">
        <v>43826</v>
      </c>
      <c r="M50" s="20">
        <v>43843</v>
      </c>
      <c r="N50" t="str">
        <f t="shared" si="1"/>
        <v>OK</v>
      </c>
    </row>
    <row r="51" spans="1:14" ht="28.8">
      <c r="A51" s="11" t="s">
        <v>41</v>
      </c>
      <c r="B51" s="5">
        <v>43823</v>
      </c>
      <c r="C51" s="5">
        <v>43857</v>
      </c>
      <c r="D51" s="4">
        <v>2</v>
      </c>
      <c r="E51" s="5">
        <v>43836</v>
      </c>
      <c r="F51" s="4">
        <v>191.86993662516301</v>
      </c>
      <c r="G51" s="15" t="s">
        <v>112</v>
      </c>
      <c r="H51" cm="1">
        <v>2</v>
      </c>
      <c r="I51" s="4" t="str">
        <f>IF(G51="","",IFERROR(INDEX(Sources!$A$2:$A$99,MATCH(G51,Sources!$B$2:$B$99,0)),"MISSING SOURCE"))</f>
        <v>E18</v>
      </c>
      <c r="J51" s="18">
        <v>43833</v>
      </c>
      <c r="K51" s="17" t="str">
        <f t="shared" si="0"/>
        <v>OK</v>
      </c>
      <c r="L51" s="20">
        <v>43826</v>
      </c>
      <c r="M51" s="20">
        <v>43843</v>
      </c>
      <c r="N51" t="str">
        <f t="shared" si="1"/>
        <v>OK</v>
      </c>
    </row>
    <row r="52" spans="1:14" ht="43.2">
      <c r="A52" s="11" t="s">
        <v>41</v>
      </c>
      <c r="B52" s="5">
        <v>43823</v>
      </c>
      <c r="C52" s="5">
        <v>43857</v>
      </c>
      <c r="D52" s="4">
        <v>3</v>
      </c>
      <c r="E52" s="5">
        <v>43840</v>
      </c>
      <c r="F52" s="4">
        <v>166.78642272949199</v>
      </c>
      <c r="G52" s="15" t="s">
        <v>110</v>
      </c>
      <c r="H52" cm="1">
        <v>2</v>
      </c>
      <c r="I52" s="4" t="str">
        <f>IF(G52="","",IFERROR(INDEX(Sources!$A$2:$A$99,MATCH(G52,Sources!$B$2:$B$99,0)),"MISSING SOURCE"))</f>
        <v>E17</v>
      </c>
      <c r="J52" s="18">
        <v>43838</v>
      </c>
      <c r="K52" s="17" t="str">
        <f t="shared" si="0"/>
        <v>OK</v>
      </c>
      <c r="L52" s="20">
        <v>43826</v>
      </c>
      <c r="M52" s="20">
        <v>43843</v>
      </c>
      <c r="N52" t="str">
        <f t="shared" si="1"/>
        <v>OK</v>
      </c>
    </row>
    <row r="53" spans="1:14" ht="28.8">
      <c r="A53" s="11" t="s">
        <v>42</v>
      </c>
      <c r="B53" s="5">
        <v>44321</v>
      </c>
      <c r="C53" s="5">
        <v>44348</v>
      </c>
      <c r="D53" s="4">
        <v>1</v>
      </c>
      <c r="E53" s="5">
        <v>44329</v>
      </c>
      <c r="F53" s="4">
        <v>131.76544189453099</v>
      </c>
      <c r="G53" s="15" t="s">
        <v>114</v>
      </c>
      <c r="H53" cm="1">
        <v>2</v>
      </c>
      <c r="I53" s="4" t="str">
        <f>IF(G53="","",IFERROR(INDEX(Sources!$A$2:$A$99,MATCH(G53,Sources!$B$2:$B$99,0)),"MISSING SOURCE"))</f>
        <v>E19</v>
      </c>
      <c r="J53" s="18">
        <v>44326</v>
      </c>
      <c r="K53" s="17" t="str">
        <f t="shared" si="0"/>
        <v>OK</v>
      </c>
      <c r="L53" s="20">
        <v>44329</v>
      </c>
      <c r="M53" s="20">
        <v>44343</v>
      </c>
      <c r="N53" t="str">
        <f t="shared" si="1"/>
        <v>OK</v>
      </c>
    </row>
    <row r="54" spans="1:14" ht="43.2">
      <c r="A54" s="11" t="s">
        <v>42</v>
      </c>
      <c r="B54" s="5">
        <v>44321</v>
      </c>
      <c r="C54" s="5">
        <v>44348</v>
      </c>
      <c r="D54" s="4">
        <v>2</v>
      </c>
      <c r="E54" s="5">
        <v>44337</v>
      </c>
      <c r="F54" s="4">
        <v>125.12368011474599</v>
      </c>
      <c r="G54" s="15" t="s">
        <v>17</v>
      </c>
      <c r="H54" cm="1">
        <v>2</v>
      </c>
      <c r="I54" s="4" t="str">
        <f>IF(G54="","",IFERROR(INDEX(Sources!$A$2:$A$99,MATCH(G54,Sources!$B$2:$B$99,0)),"MISSING SOURCE"))</f>
        <v>E05</v>
      </c>
      <c r="J54" s="18">
        <v>44337</v>
      </c>
      <c r="K54" s="17" t="str">
        <f t="shared" si="0"/>
        <v>OK</v>
      </c>
      <c r="L54" s="20">
        <v>44329</v>
      </c>
      <c r="M54" s="20">
        <v>44343</v>
      </c>
      <c r="N54" t="str">
        <f t="shared" si="1"/>
        <v>OK</v>
      </c>
    </row>
    <row r="55" spans="1:14" ht="28.8">
      <c r="A55" s="11" t="s">
        <v>42</v>
      </c>
      <c r="B55" s="5">
        <v>44321</v>
      </c>
      <c r="C55" s="5">
        <v>44348</v>
      </c>
      <c r="D55" s="4">
        <v>3</v>
      </c>
      <c r="E55" s="5">
        <v>44334</v>
      </c>
      <c r="F55" s="4">
        <v>108.11334991455099</v>
      </c>
      <c r="G55" s="15" t="s">
        <v>114</v>
      </c>
      <c r="H55" cm="1">
        <v>2</v>
      </c>
      <c r="I55" s="4" t="str">
        <f>IF(G55="","",IFERROR(INDEX(Sources!$A$2:$A$99,MATCH(G55,Sources!$B$2:$B$99,0)),"MISSING SOURCE"))</f>
        <v>E19</v>
      </c>
      <c r="J55" s="18">
        <v>44326</v>
      </c>
      <c r="K55" s="17" t="str">
        <f t="shared" si="0"/>
        <v>OK</v>
      </c>
      <c r="L55" s="20">
        <v>44329</v>
      </c>
      <c r="M55" s="20">
        <v>44343</v>
      </c>
      <c r="N55" t="str">
        <f t="shared" si="1"/>
        <v>OK</v>
      </c>
    </row>
    <row r="56" spans="1:14" ht="28.8">
      <c r="A56" s="11" t="s">
        <v>43</v>
      </c>
      <c r="B56" s="5">
        <v>45722</v>
      </c>
      <c r="C56" s="5">
        <v>45748</v>
      </c>
      <c r="D56" s="4">
        <v>1</v>
      </c>
      <c r="E56" s="5">
        <v>45734</v>
      </c>
      <c r="F56" s="4">
        <v>271.26623535156199</v>
      </c>
      <c r="G56" s="15" t="s">
        <v>20</v>
      </c>
      <c r="H56" cm="1">
        <v>1</v>
      </c>
      <c r="I56" s="4" t="str">
        <f>IF(G56="","",IFERROR(INDEX(Sources!$A$2:$A$99,MATCH(G56,Sources!$B$2:$B$99,0)),"MISSING SOURCE"))</f>
        <v>E06</v>
      </c>
      <c r="J56" s="18">
        <v>45727</v>
      </c>
      <c r="K56" s="17" t="str">
        <f t="shared" si="0"/>
        <v>OK</v>
      </c>
      <c r="L56" s="20">
        <v>45722</v>
      </c>
      <c r="M56" s="20">
        <v>45736</v>
      </c>
      <c r="N56" t="str">
        <f t="shared" si="1"/>
        <v>OK</v>
      </c>
    </row>
    <row r="57" spans="1:14" ht="28.8">
      <c r="A57" s="11" t="s">
        <v>43</v>
      </c>
      <c r="B57" s="5">
        <v>45722</v>
      </c>
      <c r="C57" s="5">
        <v>45748</v>
      </c>
      <c r="D57" s="4">
        <v>2</v>
      </c>
      <c r="E57" s="5">
        <v>45735</v>
      </c>
      <c r="F57" s="4">
        <v>251.39157104492199</v>
      </c>
      <c r="G57" s="15" t="s">
        <v>20</v>
      </c>
      <c r="H57" cm="1">
        <v>1</v>
      </c>
      <c r="I57" s="4" t="str">
        <f>IF(G57="","",IFERROR(INDEX(Sources!$A$2:$A$99,MATCH(G57,Sources!$B$2:$B$99,0)),"MISSING SOURCE"))</f>
        <v>E06</v>
      </c>
      <c r="J57" s="18">
        <v>45727</v>
      </c>
      <c r="K57" s="17" t="str">
        <f t="shared" si="0"/>
        <v>OK</v>
      </c>
      <c r="L57" s="20">
        <v>45722</v>
      </c>
      <c r="M57" s="20">
        <v>45736</v>
      </c>
      <c r="N57" t="str">
        <f t="shared" si="1"/>
        <v>OK</v>
      </c>
    </row>
    <row r="58" spans="1:14" ht="28.8">
      <c r="A58" s="11" t="s">
        <v>43</v>
      </c>
      <c r="B58" s="5">
        <v>45722</v>
      </c>
      <c r="C58" s="5">
        <v>45748</v>
      </c>
      <c r="D58" s="4">
        <v>3</v>
      </c>
      <c r="E58" s="5">
        <v>45728</v>
      </c>
      <c r="F58" s="4">
        <v>234.28985595703099</v>
      </c>
      <c r="G58" s="15" t="s">
        <v>20</v>
      </c>
      <c r="H58" cm="1">
        <v>1</v>
      </c>
      <c r="I58" s="4" t="str">
        <f>IF(G58="","",IFERROR(INDEX(Sources!$A$2:$A$99,MATCH(G58,Sources!$B$2:$B$99,0)),"MISSING SOURCE"))</f>
        <v>E06</v>
      </c>
      <c r="J58" s="18">
        <v>45727</v>
      </c>
      <c r="K58" s="17" t="str">
        <f t="shared" si="0"/>
        <v>OK</v>
      </c>
      <c r="L58" s="20">
        <v>45722</v>
      </c>
      <c r="M58" s="20">
        <v>45736</v>
      </c>
      <c r="N58" t="str">
        <f t="shared" si="1"/>
        <v>OK</v>
      </c>
    </row>
    <row r="59" spans="1:14" ht="28.8">
      <c r="A59" s="11" t="s">
        <v>44</v>
      </c>
      <c r="B59" s="5">
        <v>45819</v>
      </c>
      <c r="C59" s="5">
        <v>45841</v>
      </c>
      <c r="D59" s="4">
        <v>1</v>
      </c>
      <c r="E59" s="5">
        <v>45831</v>
      </c>
      <c r="F59" s="4">
        <v>352.00847880045598</v>
      </c>
      <c r="G59" s="15" t="s">
        <v>38</v>
      </c>
      <c r="H59" cm="1">
        <v>1</v>
      </c>
      <c r="I59" s="4" t="str">
        <f>IF(G59="","",IFERROR(INDEX(Sources!$A$2:$A$99,MATCH(G59,Sources!$B$2:$B$99,0)),"MISSING SOURCE"))</f>
        <v>E16</v>
      </c>
      <c r="J59" s="18">
        <v>45821</v>
      </c>
      <c r="K59" s="17" t="str">
        <f t="shared" si="0"/>
        <v>OK</v>
      </c>
      <c r="L59" s="20">
        <v>45825</v>
      </c>
      <c r="M59" s="20">
        <v>45839</v>
      </c>
      <c r="N59" t="str">
        <f t="shared" si="1"/>
        <v>OK</v>
      </c>
    </row>
    <row r="60" spans="1:14" ht="28.8">
      <c r="A60" s="11" t="s">
        <v>44</v>
      </c>
      <c r="B60" s="5">
        <v>45819</v>
      </c>
      <c r="C60" s="5">
        <v>45841</v>
      </c>
      <c r="D60" s="4">
        <v>2</v>
      </c>
      <c r="E60" s="5">
        <v>45828</v>
      </c>
      <c r="F60" s="4">
        <v>345.27322387695301</v>
      </c>
      <c r="G60" s="15" t="s">
        <v>38</v>
      </c>
      <c r="H60" cm="1">
        <v>1</v>
      </c>
      <c r="I60" s="4" t="str">
        <f>IF(G60="","",IFERROR(INDEX(Sources!$A$2:$A$99,MATCH(G60,Sources!$B$2:$B$99,0)),"MISSING SOURCE"))</f>
        <v>E16</v>
      </c>
      <c r="J60" s="18">
        <v>45821</v>
      </c>
      <c r="K60" s="17" t="str">
        <f t="shared" si="0"/>
        <v>OK</v>
      </c>
      <c r="L60" s="20">
        <v>45825</v>
      </c>
      <c r="M60" s="20">
        <v>45839</v>
      </c>
      <c r="N60" t="str">
        <f t="shared" si="1"/>
        <v>OK</v>
      </c>
    </row>
    <row r="61" spans="1:14" ht="28.8">
      <c r="A61" s="11" t="s">
        <v>44</v>
      </c>
      <c r="B61" s="5">
        <v>45819</v>
      </c>
      <c r="C61" s="5">
        <v>45841</v>
      </c>
      <c r="D61" s="4">
        <v>3</v>
      </c>
      <c r="E61" s="5">
        <v>45832</v>
      </c>
      <c r="F61" s="4">
        <v>318.76171875</v>
      </c>
      <c r="G61" s="15" t="s">
        <v>38</v>
      </c>
      <c r="H61" cm="1">
        <v>1</v>
      </c>
      <c r="I61" s="4" t="str">
        <f>IF(G61="","",IFERROR(INDEX(Sources!$A$2:$A$99,MATCH(G61,Sources!$B$2:$B$99,0)),"MISSING SOURCE"))</f>
        <v>E16</v>
      </c>
      <c r="J61" s="18">
        <v>45821</v>
      </c>
      <c r="K61" s="17" t="str">
        <f t="shared" si="0"/>
        <v>OK</v>
      </c>
      <c r="L61" s="20">
        <v>45825</v>
      </c>
      <c r="M61" s="20">
        <v>45839</v>
      </c>
      <c r="N61" t="str">
        <f t="shared" si="1"/>
        <v>OK</v>
      </c>
    </row>
    <row r="62" spans="1:14" ht="28.8">
      <c r="A62" s="11" t="s">
        <v>45</v>
      </c>
      <c r="B62" s="5">
        <v>42306</v>
      </c>
      <c r="C62" s="5">
        <v>42374</v>
      </c>
      <c r="D62" s="4">
        <v>1</v>
      </c>
      <c r="E62" s="5">
        <v>42325</v>
      </c>
      <c r="F62" s="4">
        <v>551.20111083984398</v>
      </c>
      <c r="G62" s="15" t="s">
        <v>93</v>
      </c>
      <c r="H62" cm="1">
        <v>2</v>
      </c>
      <c r="I62" s="4" t="str">
        <f>IF(G62="","",IFERROR(INDEX(Sources!$A$2:$A$99,MATCH(G62,Sources!$B$2:$B$99,0)),"MISSING SOURCE"))</f>
        <v>E03</v>
      </c>
      <c r="J62" s="18">
        <v>42321</v>
      </c>
      <c r="K62" s="17" t="str">
        <f t="shared" si="0"/>
        <v>OK</v>
      </c>
      <c r="L62" s="20">
        <v>42324</v>
      </c>
      <c r="M62" s="20">
        <v>42352</v>
      </c>
      <c r="N62" t="str">
        <f t="shared" si="1"/>
        <v>OK</v>
      </c>
    </row>
    <row r="63" spans="1:14" ht="28.8">
      <c r="A63" s="11" t="s">
        <v>45</v>
      </c>
      <c r="B63" s="5">
        <v>42306</v>
      </c>
      <c r="C63" s="5">
        <v>42374</v>
      </c>
      <c r="D63" s="4">
        <v>2</v>
      </c>
      <c r="E63" s="5">
        <v>42326</v>
      </c>
      <c r="F63" s="4">
        <v>520.66583251953102</v>
      </c>
      <c r="G63" s="15" t="s">
        <v>93</v>
      </c>
      <c r="H63" cm="1">
        <v>2</v>
      </c>
      <c r="I63" s="4" t="str">
        <f>IF(G63="","",IFERROR(INDEX(Sources!$A$2:$A$99,MATCH(G63,Sources!$B$2:$B$99,0)),"MISSING SOURCE"))</f>
        <v>E03</v>
      </c>
      <c r="J63" s="18">
        <v>42321</v>
      </c>
      <c r="K63" s="17" t="str">
        <f t="shared" si="0"/>
        <v>OK</v>
      </c>
      <c r="L63" s="20">
        <v>42324</v>
      </c>
      <c r="M63" s="20">
        <v>42352</v>
      </c>
      <c r="N63" t="str">
        <f t="shared" si="1"/>
        <v>OK</v>
      </c>
    </row>
    <row r="64" spans="1:14" ht="43.2">
      <c r="A64" s="11" t="s">
        <v>45</v>
      </c>
      <c r="B64" s="5">
        <v>42306</v>
      </c>
      <c r="C64" s="5">
        <v>42374</v>
      </c>
      <c r="D64" s="4">
        <v>3</v>
      </c>
      <c r="E64" s="5">
        <v>42333</v>
      </c>
      <c r="F64" s="4">
        <v>394.968017578125</v>
      </c>
      <c r="G64" s="15" t="s">
        <v>95</v>
      </c>
      <c r="H64" cm="1">
        <v>2</v>
      </c>
      <c r="I64" s="4" t="str">
        <f>IF(G64="","",IFERROR(INDEX(Sources!$A$2:$A$99,MATCH(G64,Sources!$B$2:$B$99,0)),"MISSING SOURCE"))</f>
        <v>E04</v>
      </c>
      <c r="J64" s="18">
        <v>42332</v>
      </c>
      <c r="K64" s="17" t="str">
        <f t="shared" si="0"/>
        <v>OK</v>
      </c>
      <c r="L64" s="20">
        <v>42324</v>
      </c>
      <c r="M64" s="20">
        <v>42352</v>
      </c>
      <c r="N64" t="str">
        <f t="shared" si="1"/>
        <v>OK</v>
      </c>
    </row>
    <row r="65" spans="1:14" ht="28.8">
      <c r="A65" s="11" t="s">
        <v>46</v>
      </c>
      <c r="B65" s="5">
        <v>42706</v>
      </c>
      <c r="C65" s="5">
        <v>42723</v>
      </c>
      <c r="D65" s="4">
        <v>1</v>
      </c>
      <c r="E65" s="5">
        <v>42725</v>
      </c>
      <c r="F65" s="4">
        <v>311.33465576171898</v>
      </c>
      <c r="G65" s="15" t="s">
        <v>302</v>
      </c>
      <c r="H65" cm="1">
        <v>2</v>
      </c>
      <c r="I65" s="4" t="str">
        <f>IF(G65="","",IFERROR(INDEX(Sources!$A$2:$A$99,MATCH(G65,Sources!$B$2:$B$99,0)),"MISSING SOURCE"))</f>
        <v>E38</v>
      </c>
      <c r="J65" s="18">
        <v>42723</v>
      </c>
      <c r="K65" s="17" t="str">
        <f t="shared" si="0"/>
        <v>OK</v>
      </c>
      <c r="L65" s="20">
        <v>42703</v>
      </c>
      <c r="M65" s="20">
        <v>42734</v>
      </c>
      <c r="N65" t="str">
        <f t="shared" si="1"/>
        <v>OK</v>
      </c>
    </row>
    <row r="66" spans="1:14" ht="28.8">
      <c r="A66" s="11" t="s">
        <v>46</v>
      </c>
      <c r="B66" s="5">
        <v>42706</v>
      </c>
      <c r="C66" s="5">
        <v>42723</v>
      </c>
      <c r="D66" s="4">
        <v>2</v>
      </c>
      <c r="E66" s="5">
        <v>42734</v>
      </c>
      <c r="F66" s="4">
        <v>247.23635864257801</v>
      </c>
      <c r="G66" s="15" t="s">
        <v>48</v>
      </c>
      <c r="H66" cm="1">
        <v>2</v>
      </c>
      <c r="I66" s="4" t="str">
        <f>IF(G66="","",IFERROR(INDEX(Sources!$A$2:$A$99,MATCH(G66,Sources!$B$2:$B$99,0)),"MISSING SOURCE"))</f>
        <v>E20</v>
      </c>
      <c r="J66" s="18">
        <v>42717</v>
      </c>
      <c r="K66" s="17" t="str">
        <f t="shared" ref="K66:K129" si="2">IF(E66&lt;J66-1,"FLAG","OK")</f>
        <v>OK</v>
      </c>
      <c r="L66" s="20">
        <v>42703</v>
      </c>
      <c r="M66" s="20">
        <v>42734</v>
      </c>
      <c r="N66" t="str">
        <f t="shared" ref="N66:N129" si="3">IF(OR(E66&lt;L66,E66&gt;M66),"FLAG","OK")</f>
        <v>OK</v>
      </c>
    </row>
    <row r="67" spans="1:14" ht="28.8">
      <c r="A67" s="11" t="s">
        <v>46</v>
      </c>
      <c r="B67" s="5">
        <v>42706</v>
      </c>
      <c r="C67" s="5">
        <v>42723</v>
      </c>
      <c r="D67" s="4">
        <v>3</v>
      </c>
      <c r="E67" s="5">
        <v>42727</v>
      </c>
      <c r="F67" s="4">
        <v>246.60563659668</v>
      </c>
      <c r="G67" s="15" t="s">
        <v>302</v>
      </c>
      <c r="H67" cm="1">
        <v>2</v>
      </c>
      <c r="I67" s="4" t="str">
        <f>IF(G67="","",IFERROR(INDEX(Sources!$A$2:$A$99,MATCH(G67,Sources!$B$2:$B$99,0)),"MISSING SOURCE"))</f>
        <v>E38</v>
      </c>
      <c r="J67" s="18">
        <v>42723</v>
      </c>
      <c r="K67" s="17" t="str">
        <f t="shared" si="2"/>
        <v>OK</v>
      </c>
      <c r="L67" s="20">
        <v>42703</v>
      </c>
      <c r="M67" s="20">
        <v>42734</v>
      </c>
      <c r="N67" t="str">
        <f t="shared" si="3"/>
        <v>OK</v>
      </c>
    </row>
    <row r="68" spans="1:14" ht="28.8">
      <c r="A68" s="11" t="s">
        <v>49</v>
      </c>
      <c r="B68" s="5">
        <v>42874</v>
      </c>
      <c r="C68" s="5">
        <v>42915</v>
      </c>
      <c r="D68" s="4">
        <v>1</v>
      </c>
      <c r="E68" s="5">
        <v>42892</v>
      </c>
      <c r="F68" s="4">
        <v>339.86666870117199</v>
      </c>
      <c r="G68" s="15" t="s">
        <v>99</v>
      </c>
      <c r="H68" cm="1">
        <v>3</v>
      </c>
      <c r="I68" s="4" t="str">
        <f>IF(G68="","",IFERROR(INDEX(Sources!$A$2:$A$99,MATCH(G68,Sources!$B$2:$B$99,0)),"MISSING SOURCE"))</f>
        <v>E09</v>
      </c>
      <c r="J68" s="18">
        <v>42891</v>
      </c>
      <c r="K68" s="17" t="str">
        <f t="shared" si="2"/>
        <v>OK</v>
      </c>
      <c r="L68" s="20">
        <v>42879</v>
      </c>
      <c r="M68" s="20">
        <v>42908</v>
      </c>
      <c r="N68" t="str">
        <f t="shared" si="3"/>
        <v>OK</v>
      </c>
    </row>
    <row r="69" spans="1:14" ht="28.8">
      <c r="A69" s="11" t="s">
        <v>49</v>
      </c>
      <c r="B69" s="5">
        <v>42874</v>
      </c>
      <c r="C69" s="5">
        <v>42915</v>
      </c>
      <c r="D69" s="4">
        <v>2</v>
      </c>
      <c r="E69" s="5">
        <v>42893</v>
      </c>
      <c r="F69" s="4">
        <v>333.88903808593801</v>
      </c>
      <c r="G69" s="15" t="s">
        <v>97</v>
      </c>
      <c r="H69" cm="1">
        <v>3</v>
      </c>
      <c r="I69" s="4" t="str">
        <f>IF(G69="","",IFERROR(INDEX(Sources!$A$2:$A$99,MATCH(G69,Sources!$B$2:$B$99,0)),"MISSING SOURCE"))</f>
        <v>E08</v>
      </c>
      <c r="J69" s="18">
        <v>42893</v>
      </c>
      <c r="K69" s="17" t="str">
        <f t="shared" si="2"/>
        <v>OK</v>
      </c>
      <c r="L69" s="20">
        <v>42879</v>
      </c>
      <c r="M69" s="20">
        <v>42908</v>
      </c>
      <c r="N69" t="str">
        <f t="shared" si="3"/>
        <v>OK</v>
      </c>
    </row>
    <row r="70" spans="1:14" ht="28.8">
      <c r="A70" s="11" t="s">
        <v>49</v>
      </c>
      <c r="B70" s="5">
        <v>42874</v>
      </c>
      <c r="C70" s="5">
        <v>42915</v>
      </c>
      <c r="D70" s="4">
        <v>3</v>
      </c>
      <c r="E70" s="5">
        <v>42881</v>
      </c>
      <c r="F70" s="4">
        <v>289.86331176757801</v>
      </c>
      <c r="G70" s="15" t="s">
        <v>299</v>
      </c>
      <c r="H70" cm="1">
        <v>3</v>
      </c>
      <c r="I70" s="4" t="str">
        <f>IF(G70="","",IFERROR(INDEX(Sources!$A$2:$A$99,MATCH(G70,Sources!$B$2:$B$99,0)),"MISSING SOURCE"))</f>
        <v>E37</v>
      </c>
      <c r="J70" s="18">
        <v>42881</v>
      </c>
      <c r="K70" s="17" t="str">
        <f t="shared" si="2"/>
        <v>OK</v>
      </c>
      <c r="L70" s="20">
        <v>42879</v>
      </c>
      <c r="M70" s="20">
        <v>42908</v>
      </c>
      <c r="N70" t="str">
        <f t="shared" si="3"/>
        <v>OK</v>
      </c>
    </row>
    <row r="71" spans="1:14" ht="43.2">
      <c r="A71" s="11" t="s">
        <v>50</v>
      </c>
      <c r="B71" s="5">
        <v>45707</v>
      </c>
      <c r="C71" s="5">
        <v>45733</v>
      </c>
      <c r="D71" s="4">
        <v>1</v>
      </c>
      <c r="E71" s="5">
        <v>45708</v>
      </c>
      <c r="F71" s="4">
        <v>336.85391235351602</v>
      </c>
      <c r="G71" s="15" t="s">
        <v>116</v>
      </c>
      <c r="H71" cm="1">
        <v>2</v>
      </c>
      <c r="I71" s="4" t="str">
        <f>IF(G71="","",IFERROR(INDEX(Sources!$A$2:$A$99,MATCH(G71,Sources!$B$2:$B$99,0)),"MISSING SOURCE"))</f>
        <v>E21</v>
      </c>
      <c r="J71" s="18">
        <v>45707</v>
      </c>
      <c r="K71" s="17" t="str">
        <f t="shared" si="2"/>
        <v>OK</v>
      </c>
      <c r="L71" s="20">
        <v>45708</v>
      </c>
      <c r="M71" s="20">
        <v>45736</v>
      </c>
      <c r="N71" t="str">
        <f t="shared" si="3"/>
        <v>OK</v>
      </c>
    </row>
    <row r="72" spans="1:14" ht="28.8">
      <c r="A72" s="11" t="s">
        <v>50</v>
      </c>
      <c r="B72" s="5">
        <v>45707</v>
      </c>
      <c r="C72" s="5">
        <v>45733</v>
      </c>
      <c r="D72" s="4">
        <v>2</v>
      </c>
      <c r="E72" s="5">
        <v>45734</v>
      </c>
      <c r="F72" s="4">
        <v>271.26623535156199</v>
      </c>
      <c r="G72" s="15" t="s">
        <v>20</v>
      </c>
      <c r="H72" cm="1">
        <v>2</v>
      </c>
      <c r="I72" s="4" t="str">
        <f>IF(G72="","",IFERROR(INDEX(Sources!$A$2:$A$99,MATCH(G72,Sources!$B$2:$B$99,0)),"MISSING SOURCE"))</f>
        <v>E06</v>
      </c>
      <c r="J72" s="18">
        <v>45727</v>
      </c>
      <c r="K72" s="17" t="str">
        <f t="shared" si="2"/>
        <v>OK</v>
      </c>
      <c r="L72" s="20">
        <v>45708</v>
      </c>
      <c r="M72" s="20">
        <v>45736</v>
      </c>
      <c r="N72" t="str">
        <f t="shared" si="3"/>
        <v>OK</v>
      </c>
    </row>
    <row r="73" spans="1:14" ht="28.8">
      <c r="A73" s="11" t="s">
        <v>50</v>
      </c>
      <c r="B73" s="5">
        <v>45707</v>
      </c>
      <c r="C73" s="5">
        <v>45733</v>
      </c>
      <c r="D73" s="4">
        <v>3</v>
      </c>
      <c r="E73" s="5">
        <v>45735</v>
      </c>
      <c r="F73" s="4">
        <v>251.39157104492199</v>
      </c>
      <c r="G73" s="15" t="s">
        <v>20</v>
      </c>
      <c r="H73" cm="1">
        <v>2</v>
      </c>
      <c r="I73" s="4" t="str">
        <f>IF(G73="","",IFERROR(INDEX(Sources!$A$2:$A$99,MATCH(G73,Sources!$B$2:$B$99,0)),"MISSING SOURCE"))</f>
        <v>E06</v>
      </c>
      <c r="J73" s="18">
        <v>45727</v>
      </c>
      <c r="K73" s="17" t="str">
        <f t="shared" si="2"/>
        <v>OK</v>
      </c>
      <c r="L73" s="20">
        <v>45708</v>
      </c>
      <c r="M73" s="20">
        <v>45736</v>
      </c>
      <c r="N73" t="str">
        <f t="shared" si="3"/>
        <v>OK</v>
      </c>
    </row>
    <row r="74" spans="1:14" ht="43.2">
      <c r="A74" s="11" t="s">
        <v>51</v>
      </c>
      <c r="B74" s="5">
        <v>46065</v>
      </c>
      <c r="C74" s="5">
        <v>46101</v>
      </c>
      <c r="D74" s="4">
        <v>1</v>
      </c>
      <c r="E74" s="5">
        <v>46091</v>
      </c>
      <c r="F74" s="4">
        <v>627.33221435546898</v>
      </c>
      <c r="G74" s="15" t="s">
        <v>23</v>
      </c>
      <c r="H74" cm="1">
        <v>2</v>
      </c>
      <c r="I74" s="4" t="str">
        <f>IF(G74="","",IFERROR(INDEX(Sources!$A$2:$A$99,MATCH(G74,Sources!$B$2:$B$99,0)),"MISSING SOURCE"))</f>
        <v>E07</v>
      </c>
      <c r="J74" s="18">
        <v>46081</v>
      </c>
      <c r="K74" s="17" t="str">
        <f t="shared" si="2"/>
        <v>OK</v>
      </c>
      <c r="L74" s="20">
        <v>46084</v>
      </c>
      <c r="M74" s="20">
        <v>46112</v>
      </c>
      <c r="N74" t="str">
        <f t="shared" si="3"/>
        <v>OK</v>
      </c>
    </row>
    <row r="75" spans="1:14" ht="43.2">
      <c r="A75" s="11" t="s">
        <v>51</v>
      </c>
      <c r="B75" s="5">
        <v>46065</v>
      </c>
      <c r="C75" s="5">
        <v>46101</v>
      </c>
      <c r="D75" s="4">
        <v>2</v>
      </c>
      <c r="E75" s="5">
        <v>46085</v>
      </c>
      <c r="F75" s="4">
        <v>611.76007080078102</v>
      </c>
      <c r="G75" s="15" t="s">
        <v>23</v>
      </c>
      <c r="H75" cm="1">
        <v>2</v>
      </c>
      <c r="I75" s="4" t="str">
        <f>IF(G75="","",IFERROR(INDEX(Sources!$A$2:$A$99,MATCH(G75,Sources!$B$2:$B$99,0)),"MISSING SOURCE"))</f>
        <v>E07</v>
      </c>
      <c r="J75" s="18">
        <v>46081</v>
      </c>
      <c r="K75" s="17" t="str">
        <f t="shared" si="2"/>
        <v>OK</v>
      </c>
      <c r="L75" s="20">
        <v>46084</v>
      </c>
      <c r="M75" s="20">
        <v>46112</v>
      </c>
      <c r="N75" t="str">
        <f t="shared" si="3"/>
        <v>OK</v>
      </c>
    </row>
    <row r="76" spans="1:14" ht="43.2">
      <c r="A76" s="11" t="s">
        <v>51</v>
      </c>
      <c r="B76" s="5">
        <v>46065</v>
      </c>
      <c r="C76" s="5">
        <v>46101</v>
      </c>
      <c r="D76" s="4">
        <v>3</v>
      </c>
      <c r="E76" s="5">
        <v>46112</v>
      </c>
      <c r="F76" s="4">
        <v>590.88153076171898</v>
      </c>
      <c r="G76" s="15" t="s">
        <v>106</v>
      </c>
      <c r="H76" cm="1">
        <v>2</v>
      </c>
      <c r="I76" s="4" t="str">
        <f>IF(G76="","",IFERROR(INDEX(Sources!$A$2:$A$99,MATCH(G76,Sources!$B$2:$B$99,0)),"MISSING SOURCE"))</f>
        <v>E13</v>
      </c>
      <c r="J76" s="18">
        <v>46112</v>
      </c>
      <c r="K76" s="17" t="str">
        <f t="shared" si="2"/>
        <v>OK</v>
      </c>
      <c r="L76" s="20">
        <v>46084</v>
      </c>
      <c r="M76" s="20">
        <v>46112</v>
      </c>
      <c r="N76" t="str">
        <f t="shared" si="3"/>
        <v>OK</v>
      </c>
    </row>
    <row r="77" spans="1:14" ht="28.8">
      <c r="A77" s="11" t="s">
        <v>52</v>
      </c>
      <c r="B77" s="5">
        <v>42024</v>
      </c>
      <c r="C77" s="5">
        <v>42061</v>
      </c>
      <c r="D77" s="4">
        <v>1</v>
      </c>
      <c r="E77" s="5">
        <v>42017</v>
      </c>
      <c r="F77" s="4">
        <v>259.009521484375</v>
      </c>
      <c r="G77" s="15" t="s">
        <v>118</v>
      </c>
      <c r="H77" cm="1">
        <v>2</v>
      </c>
      <c r="I77" s="4" t="str">
        <f>IF(G77="","",IFERROR(INDEX(Sources!$A$2:$A$99,MATCH(G77,Sources!$B$2:$B$99,0)),"MISSING SOURCE"))</f>
        <v>E22</v>
      </c>
      <c r="J77" s="18">
        <v>42017</v>
      </c>
      <c r="K77" s="17" t="str">
        <f t="shared" si="2"/>
        <v>OK</v>
      </c>
      <c r="L77" s="20">
        <v>42012</v>
      </c>
      <c r="M77" s="20">
        <v>42054</v>
      </c>
      <c r="N77" t="str">
        <f t="shared" si="3"/>
        <v>OK</v>
      </c>
    </row>
    <row r="78" spans="1:14" ht="28.8">
      <c r="A78" s="11" t="s">
        <v>52</v>
      </c>
      <c r="B78" s="5">
        <v>42024</v>
      </c>
      <c r="C78" s="5">
        <v>42061</v>
      </c>
      <c r="D78" s="4">
        <v>2</v>
      </c>
      <c r="E78" s="5">
        <v>42020</v>
      </c>
      <c r="F78" s="4">
        <v>258.11636352539102</v>
      </c>
      <c r="G78" s="15" t="s">
        <v>120</v>
      </c>
      <c r="H78" cm="1">
        <v>2</v>
      </c>
      <c r="I78" s="4" t="str">
        <f>IF(G78="","",IFERROR(INDEX(Sources!$A$2:$A$99,MATCH(G78,Sources!$B$2:$B$99,0)),"MISSING SOURCE"))</f>
        <v>E23</v>
      </c>
      <c r="J78" s="18">
        <v>42019</v>
      </c>
      <c r="K78" s="17" t="str">
        <f t="shared" si="2"/>
        <v>OK</v>
      </c>
      <c r="L78" s="20">
        <v>42012</v>
      </c>
      <c r="M78" s="20">
        <v>42054</v>
      </c>
      <c r="N78" t="str">
        <f t="shared" si="3"/>
        <v>OK</v>
      </c>
    </row>
    <row r="79" spans="1:14" ht="28.8">
      <c r="A79" s="11" t="s">
        <v>52</v>
      </c>
      <c r="B79" s="5">
        <v>42024</v>
      </c>
      <c r="C79" s="5">
        <v>42061</v>
      </c>
      <c r="D79" s="4">
        <v>3</v>
      </c>
      <c r="E79" s="5">
        <v>42019</v>
      </c>
      <c r="F79" s="4">
        <v>257.60641479492199</v>
      </c>
      <c r="G79" s="15" t="s">
        <v>120</v>
      </c>
      <c r="H79" cm="1">
        <v>2</v>
      </c>
      <c r="I79" s="4" t="str">
        <f>IF(G79="","",IFERROR(INDEX(Sources!$A$2:$A$99,MATCH(G79,Sources!$B$2:$B$99,0)),"MISSING SOURCE"))</f>
        <v>E23</v>
      </c>
      <c r="J79" s="18">
        <v>42019</v>
      </c>
      <c r="K79" s="17" t="str">
        <f t="shared" si="2"/>
        <v>OK</v>
      </c>
      <c r="L79" s="20">
        <v>42012</v>
      </c>
      <c r="M79" s="20">
        <v>42054</v>
      </c>
      <c r="N79" t="str">
        <f t="shared" si="3"/>
        <v>OK</v>
      </c>
    </row>
    <row r="80" spans="1:14" ht="28.8">
      <c r="A80" s="11" t="s">
        <v>53</v>
      </c>
      <c r="B80" s="5">
        <v>42339</v>
      </c>
      <c r="C80" s="5">
        <v>42360</v>
      </c>
      <c r="D80" s="4">
        <v>1</v>
      </c>
      <c r="E80" s="5">
        <v>42325</v>
      </c>
      <c r="F80" s="4">
        <v>551.20111083984398</v>
      </c>
      <c r="G80" s="15" t="s">
        <v>93</v>
      </c>
      <c r="H80" cm="1">
        <v>2</v>
      </c>
      <c r="I80" s="4" t="str">
        <f>IF(G80="","",IFERROR(INDEX(Sources!$A$2:$A$99,MATCH(G80,Sources!$B$2:$B$99,0)),"MISSING SOURCE"))</f>
        <v>E03</v>
      </c>
      <c r="J80" s="18">
        <v>42321</v>
      </c>
      <c r="K80" s="17" t="str">
        <f t="shared" si="2"/>
        <v>OK</v>
      </c>
      <c r="L80" s="20">
        <v>42324</v>
      </c>
      <c r="M80" s="20">
        <v>42368</v>
      </c>
      <c r="N80" t="str">
        <f t="shared" si="3"/>
        <v>OK</v>
      </c>
    </row>
    <row r="81" spans="1:14" ht="28.8">
      <c r="A81" s="11" t="s">
        <v>53</v>
      </c>
      <c r="B81" s="5">
        <v>42339</v>
      </c>
      <c r="C81" s="5">
        <v>42360</v>
      </c>
      <c r="D81" s="4">
        <v>2</v>
      </c>
      <c r="E81" s="5">
        <v>42326</v>
      </c>
      <c r="F81" s="4">
        <v>520.66583251953102</v>
      </c>
      <c r="G81" s="15" t="s">
        <v>93</v>
      </c>
      <c r="H81" cm="1">
        <v>2</v>
      </c>
      <c r="I81" s="4" t="str">
        <f>IF(G81="","",IFERROR(INDEX(Sources!$A$2:$A$99,MATCH(G81,Sources!$B$2:$B$99,0)),"MISSING SOURCE"))</f>
        <v>E03</v>
      </c>
      <c r="J81" s="18">
        <v>42321</v>
      </c>
      <c r="K81" s="17" t="str">
        <f t="shared" si="2"/>
        <v>OK</v>
      </c>
      <c r="L81" s="20">
        <v>42324</v>
      </c>
      <c r="M81" s="20">
        <v>42368</v>
      </c>
      <c r="N81" t="str">
        <f t="shared" si="3"/>
        <v>OK</v>
      </c>
    </row>
    <row r="82" spans="1:14" ht="43.2">
      <c r="A82" s="11" t="s">
        <v>53</v>
      </c>
      <c r="B82" s="5">
        <v>42339</v>
      </c>
      <c r="C82" s="5">
        <v>42360</v>
      </c>
      <c r="D82" s="4">
        <v>3</v>
      </c>
      <c r="E82" s="5">
        <v>42333</v>
      </c>
      <c r="F82" s="4">
        <v>394.968017578125</v>
      </c>
      <c r="G82" s="15" t="s">
        <v>95</v>
      </c>
      <c r="H82" cm="1">
        <v>2</v>
      </c>
      <c r="I82" s="4" t="str">
        <f>IF(G82="","",IFERROR(INDEX(Sources!$A$2:$A$99,MATCH(G82,Sources!$B$2:$B$99,0)),"MISSING SOURCE"))</f>
        <v>E04</v>
      </c>
      <c r="J82" s="18">
        <v>42332</v>
      </c>
      <c r="K82" s="17" t="str">
        <f t="shared" si="2"/>
        <v>OK</v>
      </c>
      <c r="L82" s="20">
        <v>42324</v>
      </c>
      <c r="M82" s="20">
        <v>42368</v>
      </c>
      <c r="N82" t="str">
        <f t="shared" si="3"/>
        <v>OK</v>
      </c>
    </row>
    <row r="83" spans="1:14" ht="28.8">
      <c r="A83" s="11" t="s">
        <v>54</v>
      </c>
      <c r="B83" s="5">
        <v>42739</v>
      </c>
      <c r="C83" s="5">
        <v>42754</v>
      </c>
      <c r="D83" s="4">
        <v>1</v>
      </c>
      <c r="E83" s="5">
        <v>42725</v>
      </c>
      <c r="F83" s="4">
        <v>311.33465576171898</v>
      </c>
      <c r="G83" s="15" t="s">
        <v>302</v>
      </c>
      <c r="H83" cm="1">
        <v>2</v>
      </c>
      <c r="I83" s="4" t="str">
        <f>IF(G83="","",IFERROR(INDEX(Sources!$A$2:$A$99,MATCH(G83,Sources!$B$2:$B$99,0)),"MISSING SOURCE"))</f>
        <v>E38</v>
      </c>
      <c r="J83" s="18">
        <v>42723</v>
      </c>
      <c r="K83" s="17" t="str">
        <f t="shared" si="2"/>
        <v>OK</v>
      </c>
      <c r="L83" s="20">
        <v>42724</v>
      </c>
      <c r="M83" s="20">
        <v>42769</v>
      </c>
      <c r="N83" t="str">
        <f t="shared" si="3"/>
        <v>OK</v>
      </c>
    </row>
    <row r="84" spans="1:14" ht="28.8">
      <c r="A84" s="11" t="s">
        <v>54</v>
      </c>
      <c r="B84" s="5">
        <v>42739</v>
      </c>
      <c r="C84" s="5">
        <v>42754</v>
      </c>
      <c r="D84" s="4">
        <v>2</v>
      </c>
      <c r="E84" s="5">
        <v>42734</v>
      </c>
      <c r="F84" s="4">
        <v>247.23635864257801</v>
      </c>
      <c r="G84" s="15" t="s">
        <v>48</v>
      </c>
      <c r="H84" cm="1">
        <v>2</v>
      </c>
      <c r="I84" s="4" t="str">
        <f>IF(G84="","",IFERROR(INDEX(Sources!$A$2:$A$99,MATCH(G84,Sources!$B$2:$B$99,0)),"MISSING SOURCE"))</f>
        <v>E20</v>
      </c>
      <c r="J84" s="18">
        <v>42717</v>
      </c>
      <c r="K84" s="17" t="str">
        <f t="shared" si="2"/>
        <v>OK</v>
      </c>
      <c r="L84" s="20">
        <v>42724</v>
      </c>
      <c r="M84" s="20">
        <v>42769</v>
      </c>
      <c r="N84" t="str">
        <f t="shared" si="3"/>
        <v>OK</v>
      </c>
    </row>
    <row r="85" spans="1:14" ht="28.8">
      <c r="A85" s="11" t="s">
        <v>54</v>
      </c>
      <c r="B85" s="5">
        <v>42739</v>
      </c>
      <c r="C85" s="5">
        <v>42754</v>
      </c>
      <c r="D85" s="4">
        <v>3</v>
      </c>
      <c r="E85" s="5">
        <v>42727</v>
      </c>
      <c r="F85" s="4">
        <v>246.60563659668</v>
      </c>
      <c r="G85" s="15" t="s">
        <v>302</v>
      </c>
      <c r="H85" cm="1">
        <v>2</v>
      </c>
      <c r="I85" s="4" t="str">
        <f>IF(G85="","",IFERROR(INDEX(Sources!$A$2:$A$99,MATCH(G85,Sources!$B$2:$B$99,0)),"MISSING SOURCE"))</f>
        <v>E38</v>
      </c>
      <c r="J85" s="18">
        <v>42723</v>
      </c>
      <c r="K85" s="17" t="str">
        <f t="shared" si="2"/>
        <v>OK</v>
      </c>
      <c r="L85" s="20">
        <v>42724</v>
      </c>
      <c r="M85" s="20">
        <v>42769</v>
      </c>
      <c r="N85" t="str">
        <f t="shared" si="3"/>
        <v>OK</v>
      </c>
    </row>
    <row r="86" spans="1:14" ht="43.2">
      <c r="A86" s="11" t="s">
        <v>55</v>
      </c>
      <c r="B86" s="5">
        <v>43514</v>
      </c>
      <c r="C86" s="5">
        <v>43539</v>
      </c>
      <c r="D86" s="4">
        <v>1</v>
      </c>
      <c r="E86" s="5">
        <v>43511</v>
      </c>
      <c r="F86" s="4">
        <v>165.32522583007801</v>
      </c>
      <c r="G86" s="15" t="s">
        <v>239</v>
      </c>
      <c r="H86" cm="1">
        <v>2</v>
      </c>
      <c r="I86" s="4" t="str">
        <f>IF(G86="","",IFERROR(INDEX(Sources!$A$2:$A$99,MATCH(G86,Sources!$B$2:$B$99,0)),"MISSING SOURCE"))</f>
        <v>E24</v>
      </c>
      <c r="J86" s="18">
        <v>43510</v>
      </c>
      <c r="K86" s="17" t="str">
        <f t="shared" si="2"/>
        <v>OK</v>
      </c>
      <c r="L86" s="20">
        <v>43511</v>
      </c>
      <c r="M86" s="20">
        <v>43556</v>
      </c>
      <c r="N86" t="str">
        <f t="shared" si="3"/>
        <v>OK</v>
      </c>
    </row>
    <row r="87" spans="1:14" ht="43.2">
      <c r="A87" s="11" t="s">
        <v>55</v>
      </c>
      <c r="B87" s="5">
        <v>43514</v>
      </c>
      <c r="C87" s="5">
        <v>43539</v>
      </c>
      <c r="D87" s="4">
        <v>2</v>
      </c>
      <c r="E87" s="5">
        <v>43524</v>
      </c>
      <c r="F87" s="4">
        <v>153.59866333007801</v>
      </c>
      <c r="G87" s="15" t="s">
        <v>239</v>
      </c>
      <c r="H87" cm="1">
        <v>2</v>
      </c>
      <c r="I87" s="4" t="str">
        <f>IF(G87="","",IFERROR(INDEX(Sources!$A$2:$A$99,MATCH(G87,Sources!$B$2:$B$99,0)),"MISSING SOURCE"))</f>
        <v>E24</v>
      </c>
      <c r="J87" s="18">
        <v>43510</v>
      </c>
      <c r="K87" s="17" t="str">
        <f t="shared" si="2"/>
        <v>OK</v>
      </c>
      <c r="L87" s="20">
        <v>43511</v>
      </c>
      <c r="M87" s="20">
        <v>43556</v>
      </c>
      <c r="N87" t="str">
        <f t="shared" si="3"/>
        <v>OK</v>
      </c>
    </row>
    <row r="88" spans="1:14" ht="28.8">
      <c r="A88" s="11" t="s">
        <v>55</v>
      </c>
      <c r="B88" s="5">
        <v>43514</v>
      </c>
      <c r="C88" s="5">
        <v>43539</v>
      </c>
      <c r="D88" s="4">
        <v>3</v>
      </c>
      <c r="E88" s="5">
        <v>43543</v>
      </c>
      <c r="F88" s="4">
        <v>142.805252075195</v>
      </c>
      <c r="G88" s="15" t="s">
        <v>294</v>
      </c>
      <c r="H88" cm="1">
        <v>2</v>
      </c>
      <c r="I88" s="4" t="str">
        <f>IF(G88="","",IFERROR(INDEX(Sources!$A$2:$A$99,MATCH(G88,Sources!$B$2:$B$99,0)),"MISSING SOURCE"))</f>
        <v>E25</v>
      </c>
      <c r="J88" s="18">
        <v>43539</v>
      </c>
      <c r="K88" s="17" t="str">
        <f t="shared" si="2"/>
        <v>OK</v>
      </c>
      <c r="L88" s="20">
        <v>43511</v>
      </c>
      <c r="M88" s="20">
        <v>43556</v>
      </c>
      <c r="N88" t="str">
        <f t="shared" si="3"/>
        <v>OK</v>
      </c>
    </row>
    <row r="89" spans="1:14" ht="43.2">
      <c r="A89" s="11" t="s">
        <v>56</v>
      </c>
      <c r="B89" s="5">
        <v>46057</v>
      </c>
      <c r="C89" s="5">
        <v>46155</v>
      </c>
      <c r="D89" s="4">
        <v>1</v>
      </c>
      <c r="E89" s="5">
        <v>46091</v>
      </c>
      <c r="F89" s="4">
        <v>627.33221435546898</v>
      </c>
      <c r="G89" s="15" t="s">
        <v>23</v>
      </c>
      <c r="H89" cm="1">
        <v>2</v>
      </c>
      <c r="I89" s="4" t="str">
        <f>IF(G89="","",IFERROR(INDEX(Sources!$A$2:$A$99,MATCH(G89,Sources!$B$2:$B$99,0)),"MISSING SOURCE"))</f>
        <v>E07</v>
      </c>
      <c r="J89" s="18">
        <v>46081</v>
      </c>
      <c r="K89" s="17" t="str">
        <f t="shared" si="2"/>
        <v>OK</v>
      </c>
      <c r="L89" s="20">
        <v>46084</v>
      </c>
      <c r="M89" s="20">
        <v>46128</v>
      </c>
      <c r="N89" t="str">
        <f t="shared" si="3"/>
        <v>OK</v>
      </c>
    </row>
    <row r="90" spans="1:14" ht="43.2">
      <c r="A90" s="11" t="s">
        <v>56</v>
      </c>
      <c r="B90" s="5">
        <v>46057</v>
      </c>
      <c r="C90" s="5">
        <v>46155</v>
      </c>
      <c r="D90" s="4">
        <v>2</v>
      </c>
      <c r="E90" s="5">
        <v>46085</v>
      </c>
      <c r="F90" s="4">
        <v>611.76007080078102</v>
      </c>
      <c r="G90" s="15" t="s">
        <v>23</v>
      </c>
      <c r="H90" cm="1">
        <v>2</v>
      </c>
      <c r="I90" s="4" t="str">
        <f>IF(G90="","",IFERROR(INDEX(Sources!$A$2:$A$99,MATCH(G90,Sources!$B$2:$B$99,0)),"MISSING SOURCE"))</f>
        <v>E07</v>
      </c>
      <c r="J90" s="18">
        <v>46081</v>
      </c>
      <c r="K90" s="17" t="str">
        <f t="shared" si="2"/>
        <v>OK</v>
      </c>
      <c r="L90" s="20">
        <v>46084</v>
      </c>
      <c r="M90" s="20">
        <v>46128</v>
      </c>
      <c r="N90" t="str">
        <f t="shared" si="3"/>
        <v>OK</v>
      </c>
    </row>
    <row r="91" spans="1:14" ht="43.2">
      <c r="A91" s="11" t="s">
        <v>56</v>
      </c>
      <c r="B91" s="5">
        <v>46057</v>
      </c>
      <c r="C91" s="5">
        <v>46155</v>
      </c>
      <c r="D91" s="4">
        <v>3</v>
      </c>
      <c r="E91" s="5">
        <v>46112</v>
      </c>
      <c r="F91" s="4">
        <v>590.88153076171898</v>
      </c>
      <c r="G91" s="15" t="s">
        <v>106</v>
      </c>
      <c r="H91" cm="1">
        <v>2</v>
      </c>
      <c r="I91" s="4" t="str">
        <f>IF(G91="","",IFERROR(INDEX(Sources!$A$2:$A$99,MATCH(G91,Sources!$B$2:$B$99,0)),"MISSING SOURCE"))</f>
        <v>E13</v>
      </c>
      <c r="J91" s="18">
        <v>46112</v>
      </c>
      <c r="K91" s="17" t="str">
        <f t="shared" si="2"/>
        <v>OK</v>
      </c>
      <c r="L91" s="20">
        <v>46084</v>
      </c>
      <c r="M91" s="20">
        <v>46128</v>
      </c>
      <c r="N91" t="str">
        <f t="shared" si="3"/>
        <v>OK</v>
      </c>
    </row>
    <row r="92" spans="1:14" ht="28.8">
      <c r="A92" s="11" t="s">
        <v>57</v>
      </c>
      <c r="B92" s="5">
        <v>42361</v>
      </c>
      <c r="C92" s="5">
        <v>42397</v>
      </c>
      <c r="D92" s="4">
        <v>1</v>
      </c>
      <c r="E92" s="5">
        <v>42374</v>
      </c>
      <c r="F92" s="4">
        <v>266.29644775390602</v>
      </c>
      <c r="G92" s="15" t="s">
        <v>59</v>
      </c>
      <c r="H92" cm="1">
        <v>1</v>
      </c>
      <c r="I92" s="4" t="str">
        <f>IF(G92="","",IFERROR(INDEX(Sources!$A$2:$A$99,MATCH(G92,Sources!$B$2:$B$99,0)),"MISSING SOURCE"))</f>
        <v>E26</v>
      </c>
      <c r="J92" s="18">
        <v>42375</v>
      </c>
      <c r="K92" s="17" t="str">
        <f t="shared" si="2"/>
        <v>OK</v>
      </c>
      <c r="L92" s="20">
        <v>42374</v>
      </c>
      <c r="M92" s="20">
        <v>42388</v>
      </c>
      <c r="N92" t="str">
        <f t="shared" si="3"/>
        <v>OK</v>
      </c>
    </row>
    <row r="93" spans="1:14" ht="28.8">
      <c r="A93" s="11" t="s">
        <v>57</v>
      </c>
      <c r="B93" s="5">
        <v>42361</v>
      </c>
      <c r="C93" s="5">
        <v>42397</v>
      </c>
      <c r="D93" s="4">
        <v>2</v>
      </c>
      <c r="E93" s="5">
        <v>42376</v>
      </c>
      <c r="F93" s="4">
        <v>264.65521240234398</v>
      </c>
      <c r="G93" s="15" t="s">
        <v>59</v>
      </c>
      <c r="H93" cm="1">
        <v>1</v>
      </c>
      <c r="I93" s="4" t="str">
        <f>IF(G93="","",IFERROR(INDEX(Sources!$A$2:$A$99,MATCH(G93,Sources!$B$2:$B$99,0)),"MISSING SOURCE"))</f>
        <v>E26</v>
      </c>
      <c r="J93" s="18">
        <v>42375</v>
      </c>
      <c r="K93" s="17" t="str">
        <f t="shared" si="2"/>
        <v>OK</v>
      </c>
      <c r="L93" s="20">
        <v>42374</v>
      </c>
      <c r="M93" s="20">
        <v>42388</v>
      </c>
      <c r="N93" t="str">
        <f t="shared" si="3"/>
        <v>OK</v>
      </c>
    </row>
    <row r="94" spans="1:14" ht="28.8">
      <c r="A94" s="11" t="s">
        <v>57</v>
      </c>
      <c r="B94" s="5">
        <v>42361</v>
      </c>
      <c r="C94" s="5">
        <v>42397</v>
      </c>
      <c r="D94" s="4">
        <v>3</v>
      </c>
      <c r="E94" s="5">
        <v>42377</v>
      </c>
      <c r="F94" s="4">
        <v>203.20111083984401</v>
      </c>
      <c r="G94" s="15" t="s">
        <v>59</v>
      </c>
      <c r="H94" cm="1">
        <v>1</v>
      </c>
      <c r="I94" s="4" t="str">
        <f>IF(G94="","",IFERROR(INDEX(Sources!$A$2:$A$99,MATCH(G94,Sources!$B$2:$B$99,0)),"MISSING SOURCE"))</f>
        <v>E26</v>
      </c>
      <c r="J94" s="18">
        <v>42375</v>
      </c>
      <c r="K94" s="17" t="str">
        <f t="shared" si="2"/>
        <v>OK</v>
      </c>
      <c r="L94" s="20">
        <v>42374</v>
      </c>
      <c r="M94" s="20">
        <v>42388</v>
      </c>
      <c r="N94" t="str">
        <f t="shared" si="3"/>
        <v>OK</v>
      </c>
    </row>
    <row r="95" spans="1:14" ht="28.8">
      <c r="A95" s="11" t="s">
        <v>60</v>
      </c>
      <c r="B95" s="5">
        <v>43823</v>
      </c>
      <c r="C95" s="5">
        <v>43852</v>
      </c>
      <c r="D95" s="4">
        <v>1</v>
      </c>
      <c r="E95" s="5">
        <v>43837</v>
      </c>
      <c r="F95" s="4">
        <v>622.11676025390602</v>
      </c>
      <c r="G95" s="15" t="s">
        <v>112</v>
      </c>
      <c r="H95" cm="1">
        <v>2</v>
      </c>
      <c r="I95" s="4" t="str">
        <f>IF(G95="","",IFERROR(INDEX(Sources!$A$2:$A$99,MATCH(G95,Sources!$B$2:$B$99,0)),"MISSING SOURCE"))</f>
        <v>E18</v>
      </c>
      <c r="J95" s="18">
        <v>43833</v>
      </c>
      <c r="K95" s="17" t="str">
        <f t="shared" si="2"/>
        <v>OK</v>
      </c>
      <c r="L95" s="20">
        <v>43832</v>
      </c>
      <c r="M95" s="20">
        <v>43846</v>
      </c>
      <c r="N95" t="str">
        <f t="shared" si="3"/>
        <v>OK</v>
      </c>
    </row>
    <row r="96" spans="1:14" ht="43.2">
      <c r="A96" s="11" t="s">
        <v>60</v>
      </c>
      <c r="B96" s="5">
        <v>43823</v>
      </c>
      <c r="C96" s="5">
        <v>43852</v>
      </c>
      <c r="D96" s="4">
        <v>2</v>
      </c>
      <c r="E96" s="5">
        <v>43839</v>
      </c>
      <c r="F96" s="4">
        <v>551.646240234375</v>
      </c>
      <c r="G96" s="15" t="s">
        <v>110</v>
      </c>
      <c r="H96" cm="1">
        <v>2</v>
      </c>
      <c r="I96" s="4" t="str">
        <f>IF(G96="","",IFERROR(INDEX(Sources!$A$2:$A$99,MATCH(G96,Sources!$B$2:$B$99,0)),"MISSING SOURCE"))</f>
        <v>E17</v>
      </c>
      <c r="J96" s="18">
        <v>43838</v>
      </c>
      <c r="K96" s="17" t="str">
        <f t="shared" si="2"/>
        <v>OK</v>
      </c>
      <c r="L96" s="20">
        <v>43832</v>
      </c>
      <c r="M96" s="20">
        <v>43846</v>
      </c>
      <c r="N96" t="str">
        <f t="shared" si="3"/>
        <v>OK</v>
      </c>
    </row>
    <row r="97" spans="1:14" ht="28.8">
      <c r="A97" s="11" t="s">
        <v>60</v>
      </c>
      <c r="B97" s="5">
        <v>43823</v>
      </c>
      <c r="C97" s="5">
        <v>43852</v>
      </c>
      <c r="D97" s="4">
        <v>3</v>
      </c>
      <c r="E97" s="5">
        <v>43836</v>
      </c>
      <c r="F97" s="4">
        <v>320.62907918294297</v>
      </c>
      <c r="G97" s="15" t="s">
        <v>112</v>
      </c>
      <c r="H97" cm="1">
        <v>2</v>
      </c>
      <c r="I97" s="4" t="str">
        <f>IF(G97="","",IFERROR(INDEX(Sources!$A$2:$A$99,MATCH(G97,Sources!$B$2:$B$99,0)),"MISSING SOURCE"))</f>
        <v>E18</v>
      </c>
      <c r="J97" s="18">
        <v>43833</v>
      </c>
      <c r="K97" s="17" t="str">
        <f t="shared" si="2"/>
        <v>OK</v>
      </c>
      <c r="L97" s="20">
        <v>43832</v>
      </c>
      <c r="M97" s="20">
        <v>43846</v>
      </c>
      <c r="N97" t="str">
        <f t="shared" si="3"/>
        <v>OK</v>
      </c>
    </row>
    <row r="98" spans="1:14" ht="43.2">
      <c r="A98" s="11" t="s">
        <v>61</v>
      </c>
      <c r="B98" s="5">
        <v>44320</v>
      </c>
      <c r="C98" s="5">
        <v>44354</v>
      </c>
      <c r="D98" s="4">
        <v>1</v>
      </c>
      <c r="E98" s="5">
        <v>44341</v>
      </c>
      <c r="F98" s="4">
        <v>276.60290527343801</v>
      </c>
      <c r="G98" s="15" t="s">
        <v>17</v>
      </c>
      <c r="H98" cm="1">
        <v>2</v>
      </c>
      <c r="I98" s="4" t="str">
        <f>IF(G98="","",IFERROR(INDEX(Sources!$A$2:$A$99,MATCH(G98,Sources!$B$2:$B$99,0)),"MISSING SOURCE"))</f>
        <v>E05</v>
      </c>
      <c r="J98" s="18">
        <v>44337</v>
      </c>
      <c r="K98" s="17" t="str">
        <f t="shared" si="2"/>
        <v>OK</v>
      </c>
      <c r="L98" s="20">
        <v>44330</v>
      </c>
      <c r="M98" s="20">
        <v>44344</v>
      </c>
      <c r="N98" t="str">
        <f t="shared" si="3"/>
        <v>OK</v>
      </c>
    </row>
    <row r="99" spans="1:14" ht="43.2">
      <c r="A99" s="11" t="s">
        <v>61</v>
      </c>
      <c r="B99" s="5">
        <v>44320</v>
      </c>
      <c r="C99" s="5">
        <v>44354</v>
      </c>
      <c r="D99" s="4">
        <v>2</v>
      </c>
      <c r="E99" s="5">
        <v>44342</v>
      </c>
      <c r="F99" s="4">
        <v>243.571212768555</v>
      </c>
      <c r="G99" s="15" t="s">
        <v>17</v>
      </c>
      <c r="H99" cm="1">
        <v>2</v>
      </c>
      <c r="I99" s="4" t="str">
        <f>IF(G99="","",IFERROR(INDEX(Sources!$A$2:$A$99,MATCH(G99,Sources!$B$2:$B$99,0)),"MISSING SOURCE"))</f>
        <v>E05</v>
      </c>
      <c r="J99" s="18">
        <v>44337</v>
      </c>
      <c r="K99" s="17" t="str">
        <f t="shared" si="2"/>
        <v>OK</v>
      </c>
      <c r="L99" s="20">
        <v>44330</v>
      </c>
      <c r="M99" s="20">
        <v>44344</v>
      </c>
      <c r="N99" t="str">
        <f t="shared" si="3"/>
        <v>OK</v>
      </c>
    </row>
    <row r="100" spans="1:14" ht="28.8">
      <c r="A100" s="11" t="s">
        <v>61</v>
      </c>
      <c r="B100" s="5">
        <v>44320</v>
      </c>
      <c r="C100" s="5">
        <v>44354</v>
      </c>
      <c r="D100" s="4">
        <v>3</v>
      </c>
      <c r="E100" s="5">
        <v>44335</v>
      </c>
      <c r="F100" s="4">
        <v>204.66900634765599</v>
      </c>
      <c r="G100" s="15" t="s">
        <v>114</v>
      </c>
      <c r="H100" cm="1">
        <v>2</v>
      </c>
      <c r="I100" s="4" t="str">
        <f>IF(G100="","",IFERROR(INDEX(Sources!$A$2:$A$99,MATCH(G100,Sources!$B$2:$B$99,0)),"MISSING SOURCE"))</f>
        <v>E19</v>
      </c>
      <c r="J100" s="18">
        <v>44326</v>
      </c>
      <c r="K100" s="17" t="str">
        <f t="shared" si="2"/>
        <v>OK</v>
      </c>
      <c r="L100" s="20">
        <v>44330</v>
      </c>
      <c r="M100" s="20">
        <v>44344</v>
      </c>
      <c r="N100" t="str">
        <f t="shared" si="3"/>
        <v>OK</v>
      </c>
    </row>
    <row r="101" spans="1:14" ht="28.8">
      <c r="A101" s="11" t="s">
        <v>62</v>
      </c>
      <c r="B101" s="5">
        <v>44602</v>
      </c>
      <c r="C101" s="5">
        <v>44636</v>
      </c>
      <c r="D101" s="4">
        <v>1</v>
      </c>
      <c r="E101" s="5">
        <v>44621</v>
      </c>
      <c r="F101" s="4">
        <v>809.48681640625</v>
      </c>
      <c r="G101" s="15" t="s">
        <v>64</v>
      </c>
      <c r="H101" cm="1">
        <v>1</v>
      </c>
      <c r="I101" s="4" t="str">
        <f>IF(G101="","",IFERROR(INDEX(Sources!$A$2:$A$99,MATCH(G101,Sources!$B$2:$B$99,0)),"MISSING SOURCE"))</f>
        <v>E27</v>
      </c>
      <c r="J101" s="18">
        <v>44616</v>
      </c>
      <c r="K101" s="17" t="str">
        <f t="shared" si="2"/>
        <v>OK</v>
      </c>
      <c r="L101" s="20">
        <v>44614</v>
      </c>
      <c r="M101" s="20">
        <v>44628</v>
      </c>
      <c r="N101" t="str">
        <f t="shared" si="3"/>
        <v>OK</v>
      </c>
    </row>
    <row r="102" spans="1:14" ht="28.8">
      <c r="A102" s="11" t="s">
        <v>62</v>
      </c>
      <c r="B102" s="5">
        <v>44602</v>
      </c>
      <c r="C102" s="5">
        <v>44636</v>
      </c>
      <c r="D102" s="4">
        <v>2</v>
      </c>
      <c r="E102" s="5">
        <v>44617</v>
      </c>
      <c r="F102" s="4">
        <v>797.75244140625</v>
      </c>
      <c r="G102" s="15" t="s">
        <v>64</v>
      </c>
      <c r="H102" cm="1">
        <v>1</v>
      </c>
      <c r="I102" s="4" t="str">
        <f>IF(G102="","",IFERROR(INDEX(Sources!$A$2:$A$99,MATCH(G102,Sources!$B$2:$B$99,0)),"MISSING SOURCE"))</f>
        <v>E27</v>
      </c>
      <c r="J102" s="18">
        <v>44616</v>
      </c>
      <c r="K102" s="17" t="str">
        <f t="shared" si="2"/>
        <v>OK</v>
      </c>
      <c r="L102" s="20">
        <v>44614</v>
      </c>
      <c r="M102" s="20">
        <v>44628</v>
      </c>
      <c r="N102" t="str">
        <f t="shared" si="3"/>
        <v>OK</v>
      </c>
    </row>
    <row r="103" spans="1:14" ht="28.8">
      <c r="A103" s="11" t="s">
        <v>62</v>
      </c>
      <c r="B103" s="5">
        <v>44602</v>
      </c>
      <c r="C103" s="5">
        <v>44636</v>
      </c>
      <c r="D103" s="4">
        <v>3</v>
      </c>
      <c r="E103" s="5">
        <v>44622</v>
      </c>
      <c r="F103" s="4">
        <v>778.19549560546898</v>
      </c>
      <c r="G103" s="15" t="s">
        <v>64</v>
      </c>
      <c r="H103" cm="1">
        <v>1</v>
      </c>
      <c r="I103" s="4" t="str">
        <f>IF(G103="","",IFERROR(INDEX(Sources!$A$2:$A$99,MATCH(G103,Sources!$B$2:$B$99,0)),"MISSING SOURCE"))</f>
        <v>E27</v>
      </c>
      <c r="J103" s="18">
        <v>44616</v>
      </c>
      <c r="K103" s="17" t="str">
        <f t="shared" si="2"/>
        <v>OK</v>
      </c>
      <c r="L103" s="20">
        <v>44614</v>
      </c>
      <c r="M103" s="20">
        <v>44628</v>
      </c>
      <c r="N103" t="str">
        <f t="shared" si="3"/>
        <v>OK</v>
      </c>
    </row>
    <row r="104" spans="1:14" ht="28.8">
      <c r="A104" s="11" t="s">
        <v>65</v>
      </c>
      <c r="B104" s="5">
        <v>45813</v>
      </c>
      <c r="C104" s="5">
        <v>45845</v>
      </c>
      <c r="D104" s="4">
        <v>1</v>
      </c>
      <c r="E104" s="5">
        <v>45826</v>
      </c>
      <c r="F104" s="4">
        <v>482.16638183593801</v>
      </c>
      <c r="G104" s="15" t="s">
        <v>38</v>
      </c>
      <c r="H104" cm="1">
        <v>1</v>
      </c>
      <c r="I104" s="4" t="str">
        <f>IF(G104="","",IFERROR(INDEX(Sources!$A$2:$A$99,MATCH(G104,Sources!$B$2:$B$99,0)),"MISSING SOURCE"))</f>
        <v>E16</v>
      </c>
      <c r="J104" s="18">
        <v>45821</v>
      </c>
      <c r="K104" s="17" t="str">
        <f t="shared" si="2"/>
        <v>OK</v>
      </c>
      <c r="L104" s="20">
        <v>45820</v>
      </c>
      <c r="M104" s="20">
        <v>45835</v>
      </c>
      <c r="N104" t="str">
        <f t="shared" si="3"/>
        <v>OK</v>
      </c>
    </row>
    <row r="105" spans="1:14" ht="28.8">
      <c r="A105" s="11" t="s">
        <v>65</v>
      </c>
      <c r="B105" s="5">
        <v>45813</v>
      </c>
      <c r="C105" s="5">
        <v>45845</v>
      </c>
      <c r="D105" s="4">
        <v>2</v>
      </c>
      <c r="E105" s="5">
        <v>45833</v>
      </c>
      <c r="F105" s="4">
        <v>462.94183349609398</v>
      </c>
      <c r="G105" s="15" t="s">
        <v>38</v>
      </c>
      <c r="H105" cm="1">
        <v>1</v>
      </c>
      <c r="I105" s="4" t="str">
        <f>IF(G105="","",IFERROR(INDEX(Sources!$A$2:$A$99,MATCH(G105,Sources!$B$2:$B$99,0)),"MISSING SOURCE"))</f>
        <v>E16</v>
      </c>
      <c r="J105" s="18">
        <v>45821</v>
      </c>
      <c r="K105" s="17" t="str">
        <f t="shared" si="2"/>
        <v>OK</v>
      </c>
      <c r="L105" s="20">
        <v>45820</v>
      </c>
      <c r="M105" s="20">
        <v>45835</v>
      </c>
      <c r="N105" t="str">
        <f t="shared" si="3"/>
        <v>OK</v>
      </c>
    </row>
    <row r="106" spans="1:14" ht="28.8">
      <c r="A106" s="11" t="s">
        <v>65</v>
      </c>
      <c r="B106" s="5">
        <v>45813</v>
      </c>
      <c r="C106" s="5">
        <v>45845</v>
      </c>
      <c r="D106" s="4">
        <v>3</v>
      </c>
      <c r="E106" s="5">
        <v>45832</v>
      </c>
      <c r="F106" s="4">
        <v>436.04113769531199</v>
      </c>
      <c r="G106" s="15" t="s">
        <v>38</v>
      </c>
      <c r="H106" cm="1">
        <v>1</v>
      </c>
      <c r="I106" s="4" t="str">
        <f>IF(G106="","",IFERROR(INDEX(Sources!$A$2:$A$99,MATCH(G106,Sources!$B$2:$B$99,0)),"MISSING SOURCE"))</f>
        <v>E16</v>
      </c>
      <c r="J106" s="18">
        <v>45821</v>
      </c>
      <c r="K106" s="17" t="str">
        <f t="shared" si="2"/>
        <v>OK</v>
      </c>
      <c r="L106" s="20">
        <v>45820</v>
      </c>
      <c r="M106" s="20">
        <v>45835</v>
      </c>
      <c r="N106" t="str">
        <f t="shared" si="3"/>
        <v>OK</v>
      </c>
    </row>
    <row r="107" spans="1:14" ht="28.8">
      <c r="A107" s="11" t="s">
        <v>66</v>
      </c>
      <c r="B107" s="5">
        <v>41705</v>
      </c>
      <c r="C107" s="5">
        <v>41723</v>
      </c>
      <c r="D107" s="4">
        <v>1</v>
      </c>
      <c r="E107" s="5">
        <v>41703</v>
      </c>
      <c r="F107" s="4">
        <v>322.08572387695301</v>
      </c>
      <c r="G107" s="15" t="s">
        <v>68</v>
      </c>
      <c r="H107" cm="1">
        <v>1</v>
      </c>
      <c r="I107" s="4" t="str">
        <f>IF(G107="","",IFERROR(INDEX(Sources!$A$2:$A$99,MATCH(G107,Sources!$B$2:$B$99,0)),"MISSING SOURCE"))</f>
        <v>E28</v>
      </c>
      <c r="J107" s="18">
        <v>41702</v>
      </c>
      <c r="K107" s="17" t="str">
        <f t="shared" si="2"/>
        <v>OK</v>
      </c>
      <c r="L107" s="20">
        <v>41701</v>
      </c>
      <c r="M107" s="20">
        <v>41730</v>
      </c>
      <c r="N107" t="str">
        <f t="shared" si="3"/>
        <v>OK</v>
      </c>
    </row>
    <row r="108" spans="1:14" ht="28.8">
      <c r="A108" s="11" t="s">
        <v>66</v>
      </c>
      <c r="B108" s="5">
        <v>41705</v>
      </c>
      <c r="C108" s="5">
        <v>41723</v>
      </c>
      <c r="D108" s="4">
        <v>2</v>
      </c>
      <c r="E108" s="5">
        <v>41716</v>
      </c>
      <c r="F108" s="4">
        <v>300.75808715820301</v>
      </c>
      <c r="G108" s="15" t="s">
        <v>68</v>
      </c>
      <c r="H108" cm="1">
        <v>1</v>
      </c>
      <c r="I108" s="4" t="str">
        <f>IF(G108="","",IFERROR(INDEX(Sources!$A$2:$A$99,MATCH(G108,Sources!$B$2:$B$99,0)),"MISSING SOURCE"))</f>
        <v>E28</v>
      </c>
      <c r="J108" s="18">
        <v>41702</v>
      </c>
      <c r="K108" s="17" t="str">
        <f t="shared" si="2"/>
        <v>OK</v>
      </c>
      <c r="L108" s="20">
        <v>41701</v>
      </c>
      <c r="M108" s="20">
        <v>41730</v>
      </c>
      <c r="N108" t="str">
        <f t="shared" si="3"/>
        <v>OK</v>
      </c>
    </row>
    <row r="109" spans="1:14" ht="28.8">
      <c r="A109" s="11" t="s">
        <v>66</v>
      </c>
      <c r="B109" s="5">
        <v>41705</v>
      </c>
      <c r="C109" s="5">
        <v>41723</v>
      </c>
      <c r="D109" s="4">
        <v>3</v>
      </c>
      <c r="E109" s="5">
        <v>41702</v>
      </c>
      <c r="F109" s="4">
        <v>267.42755126953102</v>
      </c>
      <c r="G109" s="15" t="s">
        <v>68</v>
      </c>
      <c r="H109" cm="1">
        <v>1</v>
      </c>
      <c r="I109" s="4" t="str">
        <f>IF(G109="","",IFERROR(INDEX(Sources!$A$2:$A$99,MATCH(G109,Sources!$B$2:$B$99,0)),"MISSING SOURCE"))</f>
        <v>E28</v>
      </c>
      <c r="J109" s="18">
        <v>41702</v>
      </c>
      <c r="K109" s="17" t="str">
        <f t="shared" si="2"/>
        <v>OK</v>
      </c>
      <c r="L109" s="20">
        <v>41701</v>
      </c>
      <c r="M109" s="20">
        <v>41730</v>
      </c>
      <c r="N109" t="str">
        <f t="shared" si="3"/>
        <v>OK</v>
      </c>
    </row>
    <row r="110" spans="1:14" ht="28.8">
      <c r="A110" s="11" t="s">
        <v>69</v>
      </c>
      <c r="B110" s="5">
        <v>41865</v>
      </c>
      <c r="C110" s="5">
        <v>41879</v>
      </c>
      <c r="D110" s="4">
        <v>1</v>
      </c>
      <c r="E110" s="5">
        <v>41886</v>
      </c>
      <c r="F110" s="4">
        <v>297.44921875</v>
      </c>
      <c r="G110" s="15" t="s">
        <v>123</v>
      </c>
      <c r="H110" cm="1">
        <v>3</v>
      </c>
      <c r="I110" s="4" t="str">
        <f>IF(G110="","",IFERROR(INDEX(Sources!$A$2:$A$99,MATCH(G110,Sources!$B$2:$B$99,0)),"MISSING SOURCE"))</f>
        <v>E29</v>
      </c>
      <c r="J110" s="18">
        <v>41886</v>
      </c>
      <c r="K110" s="17" t="str">
        <f t="shared" si="2"/>
        <v>OK</v>
      </c>
      <c r="L110" s="20">
        <v>41858</v>
      </c>
      <c r="M110" s="20">
        <v>41886</v>
      </c>
      <c r="N110" t="str">
        <f t="shared" si="3"/>
        <v>OK</v>
      </c>
    </row>
    <row r="111" spans="1:14" ht="28.8">
      <c r="A111" s="11" t="s">
        <v>69</v>
      </c>
      <c r="B111" s="5">
        <v>41865</v>
      </c>
      <c r="C111" s="5">
        <v>41879</v>
      </c>
      <c r="D111" s="4">
        <v>2</v>
      </c>
      <c r="E111" s="5">
        <v>41884</v>
      </c>
      <c r="F111" s="4">
        <v>294.84829711914102</v>
      </c>
      <c r="G111" s="15" t="s">
        <v>125</v>
      </c>
      <c r="H111" cm="1">
        <v>3</v>
      </c>
      <c r="I111" s="4" t="str">
        <f>IF(G111="","",IFERROR(INDEX(Sources!$A$2:$A$99,MATCH(G111,Sources!$B$2:$B$99,0)),"MISSING SOURCE"))</f>
        <v>E30</v>
      </c>
      <c r="J111" s="18">
        <v>41884</v>
      </c>
      <c r="K111" s="17" t="str">
        <f t="shared" si="2"/>
        <v>OK</v>
      </c>
      <c r="L111" s="20">
        <v>41858</v>
      </c>
      <c r="M111" s="20">
        <v>41886</v>
      </c>
      <c r="N111" t="str">
        <f t="shared" si="3"/>
        <v>OK</v>
      </c>
    </row>
    <row r="112" spans="1:14" ht="28.8">
      <c r="A112" s="11" t="s">
        <v>69</v>
      </c>
      <c r="B112" s="5">
        <v>41865</v>
      </c>
      <c r="C112" s="5">
        <v>41879</v>
      </c>
      <c r="D112" s="4">
        <v>3</v>
      </c>
      <c r="E112" s="5">
        <v>41859</v>
      </c>
      <c r="F112" s="4">
        <v>285.30001831054699</v>
      </c>
      <c r="G112" s="15" t="s">
        <v>127</v>
      </c>
      <c r="H112" cm="1">
        <v>3</v>
      </c>
      <c r="I112" s="4" t="str">
        <f>IF(G112="","",IFERROR(INDEX(Sources!$A$2:$A$99,MATCH(G112,Sources!$B$2:$B$99,0)),"MISSING SOURCE"))</f>
        <v>E31</v>
      </c>
      <c r="J112" s="18">
        <v>41859</v>
      </c>
      <c r="K112" s="17" t="str">
        <f t="shared" si="2"/>
        <v>OK</v>
      </c>
      <c r="L112" s="20">
        <v>41858</v>
      </c>
      <c r="M112" s="20">
        <v>41886</v>
      </c>
      <c r="N112" t="str">
        <f t="shared" si="3"/>
        <v>OK</v>
      </c>
    </row>
    <row r="113" spans="1:14" ht="28.8">
      <c r="A113" s="11" t="s">
        <v>70</v>
      </c>
      <c r="B113" s="5">
        <v>42307</v>
      </c>
      <c r="C113" s="5">
        <v>42355</v>
      </c>
      <c r="D113" s="4">
        <v>1</v>
      </c>
      <c r="E113" s="5">
        <v>42325</v>
      </c>
      <c r="F113" s="4">
        <v>266.17459106445301</v>
      </c>
      <c r="G113" s="15" t="s">
        <v>93</v>
      </c>
      <c r="H113" cm="1">
        <v>2</v>
      </c>
      <c r="I113" s="4" t="str">
        <f>IF(G113="","",IFERROR(INDEX(Sources!$A$2:$A$99,MATCH(G113,Sources!$B$2:$B$99,0)),"MISSING SOURCE"))</f>
        <v>E03</v>
      </c>
      <c r="J113" s="18">
        <v>42321</v>
      </c>
      <c r="K113" s="17" t="str">
        <f t="shared" si="2"/>
        <v>OK</v>
      </c>
      <c r="L113" s="20">
        <v>42324</v>
      </c>
      <c r="M113" s="20">
        <v>42352</v>
      </c>
      <c r="N113" t="str">
        <f t="shared" si="3"/>
        <v>OK</v>
      </c>
    </row>
    <row r="114" spans="1:14" ht="43.2">
      <c r="A114" s="11" t="s">
        <v>70</v>
      </c>
      <c r="B114" s="5">
        <v>42307</v>
      </c>
      <c r="C114" s="5">
        <v>42355</v>
      </c>
      <c r="D114" s="4">
        <v>2</v>
      </c>
      <c r="E114" s="5">
        <v>42332</v>
      </c>
      <c r="F114" s="4">
        <v>238.09420776367199</v>
      </c>
      <c r="G114" s="15" t="s">
        <v>95</v>
      </c>
      <c r="H114" cm="1">
        <v>2</v>
      </c>
      <c r="I114" s="4" t="str">
        <f>IF(G114="","",IFERROR(INDEX(Sources!$A$2:$A$99,MATCH(G114,Sources!$B$2:$B$99,0)),"MISSING SOURCE"))</f>
        <v>E04</v>
      </c>
      <c r="J114" s="18">
        <v>42332</v>
      </c>
      <c r="K114" s="17" t="str">
        <f t="shared" si="2"/>
        <v>OK</v>
      </c>
      <c r="L114" s="20">
        <v>42324</v>
      </c>
      <c r="M114" s="20">
        <v>42352</v>
      </c>
      <c r="N114" t="str">
        <f t="shared" si="3"/>
        <v>OK</v>
      </c>
    </row>
    <row r="115" spans="1:14" ht="43.2">
      <c r="A115" s="11" t="s">
        <v>70</v>
      </c>
      <c r="B115" s="5">
        <v>42307</v>
      </c>
      <c r="C115" s="5">
        <v>42355</v>
      </c>
      <c r="D115" s="4">
        <v>3</v>
      </c>
      <c r="E115" s="5">
        <v>42335</v>
      </c>
      <c r="F115" s="4">
        <v>212.76165771484401</v>
      </c>
      <c r="G115" s="15" t="s">
        <v>95</v>
      </c>
      <c r="H115" cm="1">
        <v>2</v>
      </c>
      <c r="I115" s="4" t="str">
        <f>IF(G115="","",IFERROR(INDEX(Sources!$A$2:$A$99,MATCH(G115,Sources!$B$2:$B$99,0)),"MISSING SOURCE"))</f>
        <v>E04</v>
      </c>
      <c r="J115" s="18">
        <v>42332</v>
      </c>
      <c r="K115" s="17" t="str">
        <f t="shared" si="2"/>
        <v>OK</v>
      </c>
      <c r="L115" s="20">
        <v>42324</v>
      </c>
      <c r="M115" s="20">
        <v>42352</v>
      </c>
      <c r="N115" t="str">
        <f t="shared" si="3"/>
        <v>OK</v>
      </c>
    </row>
    <row r="116" spans="1:14" ht="43.2">
      <c r="A116" s="11" t="s">
        <v>71</v>
      </c>
      <c r="B116" s="5">
        <v>43728</v>
      </c>
      <c r="C116" s="5">
        <v>43746</v>
      </c>
      <c r="D116" s="4">
        <v>1</v>
      </c>
      <c r="E116" s="5">
        <v>43725</v>
      </c>
      <c r="F116" s="4">
        <v>325.92974853515602</v>
      </c>
      <c r="G116" s="15" t="s">
        <v>102</v>
      </c>
      <c r="H116" cm="1">
        <v>2</v>
      </c>
      <c r="I116" s="4" t="str">
        <f>IF(G116="","",IFERROR(INDEX(Sources!$A$2:$A$99,MATCH(G116,Sources!$B$2:$B$99,0)),"MISSING SOURCE"))</f>
        <v>E10</v>
      </c>
      <c r="J116" s="18">
        <v>43722</v>
      </c>
      <c r="K116" s="17" t="str">
        <f t="shared" si="2"/>
        <v>OK</v>
      </c>
      <c r="L116" s="20">
        <v>43725</v>
      </c>
      <c r="M116" s="20">
        <v>43754</v>
      </c>
      <c r="N116" t="str">
        <f t="shared" si="3"/>
        <v>OK</v>
      </c>
    </row>
    <row r="117" spans="1:14" ht="28.8">
      <c r="A117" s="11" t="s">
        <v>71</v>
      </c>
      <c r="B117" s="5">
        <v>43728</v>
      </c>
      <c r="C117" s="5">
        <v>43746</v>
      </c>
      <c r="D117" s="4">
        <v>2</v>
      </c>
      <c r="E117" s="5">
        <v>43754</v>
      </c>
      <c r="F117" s="4">
        <v>283.49554443359398</v>
      </c>
      <c r="G117" s="15" t="s">
        <v>104</v>
      </c>
      <c r="H117" cm="1">
        <v>2</v>
      </c>
      <c r="I117" s="4" t="str">
        <f>IF(G117="","",IFERROR(INDEX(Sources!$A$2:$A$99,MATCH(G117,Sources!$B$2:$B$99,0)),"MISSING SOURCE"))</f>
        <v>E11</v>
      </c>
      <c r="J117" s="18">
        <v>43747</v>
      </c>
      <c r="K117" s="17" t="str">
        <f t="shared" si="2"/>
        <v>OK</v>
      </c>
      <c r="L117" s="20">
        <v>43725</v>
      </c>
      <c r="M117" s="20">
        <v>43754</v>
      </c>
      <c r="N117" t="str">
        <f t="shared" si="3"/>
        <v>OK</v>
      </c>
    </row>
    <row r="118" spans="1:14" ht="43.2">
      <c r="A118" s="11" t="s">
        <v>71</v>
      </c>
      <c r="B118" s="5">
        <v>43728</v>
      </c>
      <c r="C118" s="5">
        <v>43746</v>
      </c>
      <c r="D118" s="4">
        <v>3</v>
      </c>
      <c r="E118" s="5">
        <v>43727</v>
      </c>
      <c r="F118" s="4">
        <v>240.13623046875</v>
      </c>
      <c r="G118" s="15" t="s">
        <v>102</v>
      </c>
      <c r="H118" cm="1">
        <v>2</v>
      </c>
      <c r="I118" s="4" t="str">
        <f>IF(G118="","",IFERROR(INDEX(Sources!$A$2:$A$99,MATCH(G118,Sources!$B$2:$B$99,0)),"MISSING SOURCE"))</f>
        <v>E10</v>
      </c>
      <c r="J118" s="18">
        <v>43722</v>
      </c>
      <c r="K118" s="17" t="str">
        <f t="shared" si="2"/>
        <v>OK</v>
      </c>
      <c r="L118" s="20">
        <v>43725</v>
      </c>
      <c r="M118" s="20">
        <v>43754</v>
      </c>
      <c r="N118" t="str">
        <f t="shared" si="3"/>
        <v>OK</v>
      </c>
    </row>
    <row r="119" spans="1:14" ht="43.2">
      <c r="A119" s="11" t="s">
        <v>72</v>
      </c>
      <c r="B119" s="5">
        <v>46107</v>
      </c>
      <c r="C119" s="5">
        <v>46120</v>
      </c>
      <c r="D119" s="4">
        <v>1</v>
      </c>
      <c r="E119" s="5">
        <v>46112</v>
      </c>
      <c r="F119" s="4">
        <v>492.85354614257801</v>
      </c>
      <c r="G119" s="15" t="s">
        <v>106</v>
      </c>
      <c r="H119" cm="1">
        <v>3</v>
      </c>
      <c r="I119" s="4" t="str">
        <f>IF(G119="","",IFERROR(INDEX(Sources!$A$2:$A$99,MATCH(G119,Sources!$B$2:$B$99,0)),"MISSING SOURCE"))</f>
        <v>E13</v>
      </c>
      <c r="J119" s="18">
        <v>46112</v>
      </c>
      <c r="K119" s="17" t="str">
        <f t="shared" si="2"/>
        <v>OK</v>
      </c>
      <c r="L119" s="20">
        <v>46098</v>
      </c>
      <c r="M119" s="20">
        <v>46128</v>
      </c>
      <c r="N119" t="str">
        <f t="shared" si="3"/>
        <v>OK</v>
      </c>
    </row>
    <row r="120" spans="1:14" ht="43.2">
      <c r="A120" s="11" t="s">
        <v>72</v>
      </c>
      <c r="B120" s="5">
        <v>46107</v>
      </c>
      <c r="C120" s="5">
        <v>46120</v>
      </c>
      <c r="D120" s="4">
        <v>2</v>
      </c>
      <c r="E120" s="5">
        <v>46121</v>
      </c>
      <c r="F120" s="4">
        <v>488.78439331054699</v>
      </c>
      <c r="G120" s="15" t="s">
        <v>129</v>
      </c>
      <c r="H120" cm="1">
        <v>3</v>
      </c>
      <c r="I120" s="4" t="str">
        <f>IF(G120="","",IFERROR(INDEX(Sources!$A$2:$A$99,MATCH(G120,Sources!$B$2:$B$99,0)),"MISSING SOURCE"))</f>
        <v>E32</v>
      </c>
      <c r="J120" s="18">
        <v>46120</v>
      </c>
      <c r="K120" s="17" t="str">
        <f t="shared" si="2"/>
        <v>OK</v>
      </c>
      <c r="L120" s="20">
        <v>46098</v>
      </c>
      <c r="M120" s="20">
        <v>46128</v>
      </c>
      <c r="N120" t="str">
        <f t="shared" si="3"/>
        <v>OK</v>
      </c>
    </row>
    <row r="121" spans="1:14" ht="43.2">
      <c r="A121" s="11" t="s">
        <v>72</v>
      </c>
      <c r="B121" s="5">
        <v>46107</v>
      </c>
      <c r="C121" s="5">
        <v>46120</v>
      </c>
      <c r="D121" s="4">
        <v>3</v>
      </c>
      <c r="E121" s="5">
        <v>46126</v>
      </c>
      <c r="F121" s="4">
        <v>475.73468017578102</v>
      </c>
      <c r="G121" s="15" t="s">
        <v>131</v>
      </c>
      <c r="H121" cm="1">
        <v>3</v>
      </c>
      <c r="I121" s="4" t="str">
        <f>IF(G121="","",IFERROR(INDEX(Sources!$A$2:$A$99,MATCH(G121,Sources!$B$2:$B$99,0)),"MISSING SOURCE"))</f>
        <v>E33</v>
      </c>
      <c r="J121" s="18">
        <v>46125</v>
      </c>
      <c r="K121" s="17" t="str">
        <f t="shared" si="2"/>
        <v>OK</v>
      </c>
      <c r="L121" s="20">
        <v>46098</v>
      </c>
      <c r="M121" s="20">
        <v>46128</v>
      </c>
      <c r="N121" t="str">
        <f t="shared" si="3"/>
        <v>OK</v>
      </c>
    </row>
    <row r="122" spans="1:14" ht="43.2">
      <c r="A122" s="11" t="s">
        <v>73</v>
      </c>
      <c r="B122" s="5">
        <v>42930</v>
      </c>
      <c r="C122" s="5">
        <v>42944</v>
      </c>
      <c r="D122" s="4">
        <v>1</v>
      </c>
      <c r="E122" s="5">
        <v>42957</v>
      </c>
      <c r="F122" s="4">
        <v>330.54043579101602</v>
      </c>
      <c r="G122" s="15" t="s">
        <v>133</v>
      </c>
      <c r="H122" cm="1">
        <v>2</v>
      </c>
      <c r="I122" s="4" t="str">
        <f>IF(G122="","",IFERROR(INDEX(Sources!$A$2:$A$99,MATCH(G122,Sources!$B$2:$B$99,0)),"MISSING SOURCE"))</f>
        <v>E34</v>
      </c>
      <c r="J122" s="18">
        <v>42955</v>
      </c>
      <c r="K122" s="17" t="str">
        <f t="shared" si="2"/>
        <v>OK</v>
      </c>
      <c r="L122" s="20">
        <v>42920</v>
      </c>
      <c r="M122" s="20">
        <v>42963</v>
      </c>
      <c r="N122" t="str">
        <f t="shared" si="3"/>
        <v>OK</v>
      </c>
    </row>
    <row r="123" spans="1:14" ht="43.2">
      <c r="A123" s="11" t="s">
        <v>73</v>
      </c>
      <c r="B123" s="5">
        <v>42930</v>
      </c>
      <c r="C123" s="5">
        <v>42944</v>
      </c>
      <c r="D123" s="4">
        <v>2</v>
      </c>
      <c r="E123" s="5">
        <v>42921</v>
      </c>
      <c r="F123" s="4">
        <v>287.85806274414102</v>
      </c>
      <c r="G123" s="15" t="s">
        <v>135</v>
      </c>
      <c r="H123" cm="1">
        <v>2</v>
      </c>
      <c r="I123" s="4" t="str">
        <f>IF(G123="","",IFERROR(INDEX(Sources!$A$2:$A$99,MATCH(G123,Sources!$B$2:$B$99,0)),"MISSING SOURCE"))</f>
        <v>E35</v>
      </c>
      <c r="J123" s="18">
        <v>42920</v>
      </c>
      <c r="K123" s="17" t="str">
        <f t="shared" si="2"/>
        <v>OK</v>
      </c>
      <c r="L123" s="20">
        <v>42920</v>
      </c>
      <c r="M123" s="20">
        <v>42963</v>
      </c>
      <c r="N123" t="str">
        <f t="shared" si="3"/>
        <v>OK</v>
      </c>
    </row>
    <row r="124" spans="1:14" ht="43.2">
      <c r="A124" s="11" t="s">
        <v>73</v>
      </c>
      <c r="B124" s="5">
        <v>42930</v>
      </c>
      <c r="C124" s="5">
        <v>42944</v>
      </c>
      <c r="D124" s="4">
        <v>3</v>
      </c>
      <c r="E124" s="5">
        <v>42922</v>
      </c>
      <c r="F124" s="4">
        <v>267.86099243164102</v>
      </c>
      <c r="G124" s="15" t="s">
        <v>135</v>
      </c>
      <c r="H124" cm="1">
        <v>2</v>
      </c>
      <c r="I124" s="4" t="str">
        <f>IF(G124="","",IFERROR(INDEX(Sources!$A$2:$A$99,MATCH(G124,Sources!$B$2:$B$99,0)),"MISSING SOURCE"))</f>
        <v>E35</v>
      </c>
      <c r="J124" s="18">
        <v>42920</v>
      </c>
      <c r="K124" s="17" t="str">
        <f t="shared" si="2"/>
        <v>OK</v>
      </c>
      <c r="L124" s="20">
        <v>42920</v>
      </c>
      <c r="M124" s="20">
        <v>42963</v>
      </c>
      <c r="N124" t="str">
        <f t="shared" si="3"/>
        <v>OK</v>
      </c>
    </row>
    <row r="125" spans="1:14" ht="28.8">
      <c r="A125" s="11" t="s">
        <v>74</v>
      </c>
      <c r="B125" s="5">
        <v>44616</v>
      </c>
      <c r="C125" s="5">
        <v>44634</v>
      </c>
      <c r="D125" s="4">
        <v>1</v>
      </c>
      <c r="E125" s="5">
        <v>44621</v>
      </c>
      <c r="F125" s="4">
        <v>809.48681640625</v>
      </c>
      <c r="G125" s="15" t="s">
        <v>64</v>
      </c>
      <c r="H125" cm="1">
        <v>1</v>
      </c>
      <c r="I125" s="4" t="str">
        <f>IF(G125="","",IFERROR(INDEX(Sources!$A$2:$A$99,MATCH(G125,Sources!$B$2:$B$99,0)),"MISSING SOURCE"))</f>
        <v>E27</v>
      </c>
      <c r="J125" s="18">
        <v>44616</v>
      </c>
      <c r="K125" s="17" t="str">
        <f t="shared" si="2"/>
        <v>OK</v>
      </c>
      <c r="L125" s="20">
        <v>44607</v>
      </c>
      <c r="M125" s="20">
        <v>44649</v>
      </c>
      <c r="N125" t="str">
        <f t="shared" si="3"/>
        <v>OK</v>
      </c>
    </row>
    <row r="126" spans="1:14" ht="28.8">
      <c r="A126" s="11" t="s">
        <v>74</v>
      </c>
      <c r="B126" s="5">
        <v>44616</v>
      </c>
      <c r="C126" s="5">
        <v>44634</v>
      </c>
      <c r="D126" s="4">
        <v>2</v>
      </c>
      <c r="E126" s="5">
        <v>44617</v>
      </c>
      <c r="F126" s="4">
        <v>797.75244140625</v>
      </c>
      <c r="G126" s="15" t="s">
        <v>64</v>
      </c>
      <c r="H126" cm="1">
        <v>1</v>
      </c>
      <c r="I126" s="4" t="str">
        <f>IF(G126="","",IFERROR(INDEX(Sources!$A$2:$A$99,MATCH(G126,Sources!$B$2:$B$99,0)),"MISSING SOURCE"))</f>
        <v>E27</v>
      </c>
      <c r="J126" s="18">
        <v>44616</v>
      </c>
      <c r="K126" s="17" t="str">
        <f t="shared" si="2"/>
        <v>OK</v>
      </c>
      <c r="L126" s="20">
        <v>44607</v>
      </c>
      <c r="M126" s="20">
        <v>44649</v>
      </c>
      <c r="N126" t="str">
        <f t="shared" si="3"/>
        <v>OK</v>
      </c>
    </row>
    <row r="127" spans="1:14" ht="28.8">
      <c r="A127" s="11" t="s">
        <v>74</v>
      </c>
      <c r="B127" s="5">
        <v>44616</v>
      </c>
      <c r="C127" s="5">
        <v>44634</v>
      </c>
      <c r="D127" s="4">
        <v>3</v>
      </c>
      <c r="E127" s="5">
        <v>44622</v>
      </c>
      <c r="F127" s="4">
        <v>778.19549560546898</v>
      </c>
      <c r="G127" s="15" t="s">
        <v>64</v>
      </c>
      <c r="H127" cm="1">
        <v>1</v>
      </c>
      <c r="I127" s="4" t="str">
        <f>IF(G127="","",IFERROR(INDEX(Sources!$A$2:$A$99,MATCH(G127,Sources!$B$2:$B$99,0)),"MISSING SOURCE"))</f>
        <v>E27</v>
      </c>
      <c r="J127" s="18">
        <v>44616</v>
      </c>
      <c r="K127" s="17" t="str">
        <f t="shared" si="2"/>
        <v>OK</v>
      </c>
      <c r="L127" s="20">
        <v>44607</v>
      </c>
      <c r="M127" s="20">
        <v>44649</v>
      </c>
      <c r="N127" t="str">
        <f t="shared" si="3"/>
        <v>OK</v>
      </c>
    </row>
    <row r="128" spans="1:14" ht="28.8">
      <c r="A128" s="11" t="s">
        <v>75</v>
      </c>
      <c r="B128" s="5">
        <v>44753</v>
      </c>
      <c r="C128" s="5">
        <v>44767</v>
      </c>
      <c r="D128" s="4">
        <v>1</v>
      </c>
      <c r="E128" s="5">
        <v>44777</v>
      </c>
      <c r="F128" s="4">
        <v>285.93466186523398</v>
      </c>
      <c r="G128" s="15" t="s">
        <v>77</v>
      </c>
      <c r="H128" cm="1">
        <v>1</v>
      </c>
      <c r="I128" s="4" t="str">
        <f>IF(G128="","",IFERROR(INDEX(Sources!$A$2:$A$99,MATCH(G128,Sources!$B$2:$B$99,0)),"MISSING SOURCE"))</f>
        <v>E36</v>
      </c>
      <c r="J128" s="18">
        <v>44775</v>
      </c>
      <c r="K128" s="17" t="str">
        <f t="shared" si="2"/>
        <v>OK</v>
      </c>
      <c r="L128" s="20">
        <v>44736</v>
      </c>
      <c r="M128" s="20">
        <v>44778</v>
      </c>
      <c r="N128" t="str">
        <f t="shared" si="3"/>
        <v>OK</v>
      </c>
    </row>
    <row r="129" spans="1:14" ht="28.8">
      <c r="A129" s="11" t="s">
        <v>75</v>
      </c>
      <c r="B129" s="5">
        <v>44753</v>
      </c>
      <c r="C129" s="5">
        <v>44767</v>
      </c>
      <c r="D129" s="4">
        <v>2</v>
      </c>
      <c r="E129" s="5">
        <v>44776</v>
      </c>
      <c r="F129" s="4">
        <v>264.58355712890602</v>
      </c>
      <c r="G129" s="15" t="s">
        <v>77</v>
      </c>
      <c r="H129" cm="1">
        <v>1</v>
      </c>
      <c r="I129" s="4" t="str">
        <f>IF(G129="","",IFERROR(INDEX(Sources!$A$2:$A$99,MATCH(G129,Sources!$B$2:$B$99,0)),"MISSING SOURCE"))</f>
        <v>E36</v>
      </c>
      <c r="J129" s="18">
        <v>44775</v>
      </c>
      <c r="K129" s="17" t="str">
        <f t="shared" si="2"/>
        <v>OK</v>
      </c>
      <c r="L129" s="20">
        <v>44736</v>
      </c>
      <c r="M129" s="20">
        <v>44778</v>
      </c>
      <c r="N129" t="str">
        <f t="shared" si="3"/>
        <v>OK</v>
      </c>
    </row>
    <row r="130" spans="1:14" ht="28.8">
      <c r="A130" s="11" t="s">
        <v>75</v>
      </c>
      <c r="B130" s="5">
        <v>44753</v>
      </c>
      <c r="C130" s="5">
        <v>44767</v>
      </c>
      <c r="D130" s="4">
        <v>3</v>
      </c>
      <c r="E130" s="5">
        <v>44775</v>
      </c>
      <c r="F130" s="4">
        <v>262.33370971679699</v>
      </c>
      <c r="G130" s="15" t="s">
        <v>77</v>
      </c>
      <c r="H130" cm="1">
        <v>1</v>
      </c>
      <c r="I130" s="4" t="str">
        <f>IF(G130="","",IFERROR(INDEX(Sources!$A$2:$A$99,MATCH(G130,Sources!$B$2:$B$99,0)),"MISSING SOURCE"))</f>
        <v>E36</v>
      </c>
      <c r="J130" s="18">
        <v>44775</v>
      </c>
      <c r="K130" s="17" t="str">
        <f t="shared" ref="K130:K136" si="4">IF(E130&lt;J130-1,"FLAG","OK")</f>
        <v>OK</v>
      </c>
      <c r="L130" s="20">
        <v>44736</v>
      </c>
      <c r="M130" s="20">
        <v>44778</v>
      </c>
      <c r="N130" t="str">
        <f t="shared" ref="N130:N136" si="5">IF(OR(E130&lt;L130,E130&gt;M130),"FLAG","OK")</f>
        <v>OK</v>
      </c>
    </row>
    <row r="131" spans="1:14" ht="28.8">
      <c r="A131" s="11" t="s">
        <v>78</v>
      </c>
      <c r="B131" s="5">
        <v>45796</v>
      </c>
      <c r="C131" s="5">
        <v>45821</v>
      </c>
      <c r="D131" s="4">
        <v>1</v>
      </c>
      <c r="E131" s="5">
        <v>45826</v>
      </c>
      <c r="F131" s="4">
        <v>482.16638183593801</v>
      </c>
      <c r="G131" s="15" t="s">
        <v>38</v>
      </c>
      <c r="H131" cm="1">
        <v>1</v>
      </c>
      <c r="I131" s="4" t="str">
        <f>IF(G131="","",IFERROR(INDEX(Sources!$A$2:$A$99,MATCH(G131,Sources!$B$2:$B$99,0)),"MISSING SOURCE"))</f>
        <v>E16</v>
      </c>
      <c r="J131" s="18">
        <v>45821</v>
      </c>
      <c r="K131" s="17" t="str">
        <f t="shared" si="4"/>
        <v>OK</v>
      </c>
      <c r="L131" s="20">
        <v>45792</v>
      </c>
      <c r="M131" s="20">
        <v>45835</v>
      </c>
      <c r="N131" t="str">
        <f t="shared" si="5"/>
        <v>OK</v>
      </c>
    </row>
    <row r="132" spans="1:14" ht="28.8">
      <c r="A132" s="11" t="s">
        <v>78</v>
      </c>
      <c r="B132" s="5">
        <v>45796</v>
      </c>
      <c r="C132" s="5">
        <v>45821</v>
      </c>
      <c r="D132" s="4">
        <v>2</v>
      </c>
      <c r="E132" s="5">
        <v>45833</v>
      </c>
      <c r="F132" s="4">
        <v>462.94183349609398</v>
      </c>
      <c r="G132" s="15" t="s">
        <v>38</v>
      </c>
      <c r="H132" cm="1">
        <v>1</v>
      </c>
      <c r="I132" s="4" t="str">
        <f>IF(G132="","",IFERROR(INDEX(Sources!$A$2:$A$99,MATCH(G132,Sources!$B$2:$B$99,0)),"MISSING SOURCE"))</f>
        <v>E16</v>
      </c>
      <c r="J132" s="18">
        <v>45821</v>
      </c>
      <c r="K132" s="17" t="str">
        <f t="shared" si="4"/>
        <v>OK</v>
      </c>
      <c r="L132" s="20">
        <v>45792</v>
      </c>
      <c r="M132" s="20">
        <v>45835</v>
      </c>
      <c r="N132" t="str">
        <f t="shared" si="5"/>
        <v>OK</v>
      </c>
    </row>
    <row r="133" spans="1:14" ht="28.8">
      <c r="A133" s="11" t="s">
        <v>78</v>
      </c>
      <c r="B133" s="5">
        <v>45796</v>
      </c>
      <c r="C133" s="5">
        <v>45821</v>
      </c>
      <c r="D133" s="4">
        <v>3</v>
      </c>
      <c r="E133" s="5">
        <v>45832</v>
      </c>
      <c r="F133" s="4">
        <v>436.04113769531199</v>
      </c>
      <c r="G133" s="15" t="s">
        <v>38</v>
      </c>
      <c r="H133" cm="1">
        <v>1</v>
      </c>
      <c r="I133" s="4" t="str">
        <f>IF(G133="","",IFERROR(INDEX(Sources!$A$2:$A$99,MATCH(G133,Sources!$B$2:$B$99,0)),"MISSING SOURCE"))</f>
        <v>E16</v>
      </c>
      <c r="J133" s="18">
        <v>45821</v>
      </c>
      <c r="K133" s="17" t="str">
        <f t="shared" si="4"/>
        <v>OK</v>
      </c>
      <c r="L133" s="20">
        <v>45792</v>
      </c>
      <c r="M133" s="20">
        <v>45835</v>
      </c>
      <c r="N133" t="str">
        <f t="shared" si="5"/>
        <v>OK</v>
      </c>
    </row>
    <row r="134" spans="1:14" ht="43.2">
      <c r="A134" s="11" t="s">
        <v>79</v>
      </c>
      <c r="B134" s="5">
        <v>46099</v>
      </c>
      <c r="C134" s="5">
        <v>46111</v>
      </c>
      <c r="D134" s="4">
        <v>1</v>
      </c>
      <c r="E134" s="5">
        <v>46085</v>
      </c>
      <c r="F134" s="4">
        <v>548.06591796875</v>
      </c>
      <c r="G134" s="15" t="s">
        <v>23</v>
      </c>
      <c r="H134" cm="1">
        <v>3</v>
      </c>
      <c r="I134" s="4" t="str">
        <f>IF(G134="","",IFERROR(INDEX(Sources!$A$2:$A$99,MATCH(G134,Sources!$B$2:$B$99,0)),"MISSING SOURCE"))</f>
        <v>E07</v>
      </c>
      <c r="J134" s="18">
        <v>46081</v>
      </c>
      <c r="K134" s="17" t="str">
        <f t="shared" si="4"/>
        <v>OK</v>
      </c>
      <c r="L134" s="20">
        <v>46084</v>
      </c>
      <c r="M134" s="20">
        <v>46128</v>
      </c>
      <c r="N134" t="str">
        <f t="shared" si="5"/>
        <v>OK</v>
      </c>
    </row>
    <row r="135" spans="1:14" ht="43.2">
      <c r="A135" s="11" t="s">
        <v>79</v>
      </c>
      <c r="B135" s="5">
        <v>46099</v>
      </c>
      <c r="C135" s="5">
        <v>46111</v>
      </c>
      <c r="D135" s="4">
        <v>2</v>
      </c>
      <c r="E135" s="5">
        <v>46112</v>
      </c>
      <c r="F135" s="4">
        <v>492.85354614257801</v>
      </c>
      <c r="G135" s="15" t="s">
        <v>106</v>
      </c>
      <c r="H135" cm="1">
        <v>3</v>
      </c>
      <c r="I135" s="4" t="str">
        <f>IF(G135="","",IFERROR(INDEX(Sources!$A$2:$A$99,MATCH(G135,Sources!$B$2:$B$99,0)),"MISSING SOURCE"))</f>
        <v>E13</v>
      </c>
      <c r="J135" s="18">
        <v>46112</v>
      </c>
      <c r="K135" s="17" t="str">
        <f t="shared" si="4"/>
        <v>OK</v>
      </c>
      <c r="L135" s="20">
        <v>46084</v>
      </c>
      <c r="M135" s="20">
        <v>46128</v>
      </c>
      <c r="N135" t="str">
        <f t="shared" si="5"/>
        <v>OK</v>
      </c>
    </row>
    <row r="136" spans="1:14" ht="43.2">
      <c r="A136" s="12" t="s">
        <v>79</v>
      </c>
      <c r="B136" s="7">
        <v>46099</v>
      </c>
      <c r="C136" s="7">
        <v>46111</v>
      </c>
      <c r="D136" s="6">
        <v>3</v>
      </c>
      <c r="E136" s="7">
        <v>46121</v>
      </c>
      <c r="F136" s="6">
        <v>488.78439331054699</v>
      </c>
      <c r="G136" s="16" t="s">
        <v>129</v>
      </c>
      <c r="H136" cm="1">
        <v>3</v>
      </c>
      <c r="I136" s="4" t="str">
        <f>IF(G136="","",IFERROR(INDEX(Sources!$A$2:$A$99,MATCH(G136,Sources!$B$2:$B$99,0)),"MISSING SOURCE"))</f>
        <v>E32</v>
      </c>
      <c r="J136" s="18">
        <v>46120</v>
      </c>
      <c r="K136" s="17" t="str">
        <f t="shared" si="4"/>
        <v>OK</v>
      </c>
      <c r="L136" s="20">
        <v>46084</v>
      </c>
      <c r="M136" s="20">
        <v>46128</v>
      </c>
      <c r="N136" t="str">
        <f t="shared" si="5"/>
        <v>OK</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tabSelected="1" topLeftCell="A7" zoomScale="72" workbookViewId="0">
      <selection activeCell="J39" sqref="J39"/>
    </sheetView>
  </sheetViews>
  <sheetFormatPr defaultRowHeight="14.4"/>
  <cols>
    <col min="1" max="1" width="45.109375" customWidth="1"/>
    <col min="2" max="2" width="21" customWidth="1"/>
    <col min="3" max="3" width="26" customWidth="1"/>
    <col min="4" max="4" width="13" customWidth="1"/>
    <col min="5" max="5" width="27.109375" customWidth="1"/>
    <col min="6" max="6" width="38.88671875" customWidth="1"/>
    <col min="7" max="7" width="32.21875" customWidth="1"/>
    <col min="8" max="8" width="18.44140625" customWidth="1"/>
    <col min="9" max="9" width="13.5546875" customWidth="1"/>
    <col min="10" max="10" width="21.44140625" customWidth="1"/>
    <col min="11" max="11" width="26.5546875" customWidth="1"/>
    <col min="12" max="12" width="27.33203125" customWidth="1"/>
  </cols>
  <sheetData>
    <row r="1" spans="1:12" ht="43.8" thickBot="1">
      <c r="A1" s="25" t="s">
        <v>86</v>
      </c>
      <c r="B1" s="25" t="s">
        <v>85</v>
      </c>
      <c r="C1" s="25" t="s">
        <v>87</v>
      </c>
      <c r="D1" s="25" t="s">
        <v>137</v>
      </c>
      <c r="E1" s="25" t="s">
        <v>138</v>
      </c>
      <c r="F1" s="25" t="s">
        <v>139</v>
      </c>
      <c r="G1" s="25" t="s">
        <v>140</v>
      </c>
      <c r="H1" s="25" t="s">
        <v>141</v>
      </c>
      <c r="I1" s="25" t="s">
        <v>142</v>
      </c>
      <c r="J1" s="25" t="s">
        <v>143</v>
      </c>
      <c r="K1" s="25" t="s">
        <v>144</v>
      </c>
      <c r="L1" s="25" t="s">
        <v>145</v>
      </c>
    </row>
    <row r="2" spans="1:12" ht="85.2" customHeight="1">
      <c r="A2" s="23" t="s">
        <v>90</v>
      </c>
      <c r="B2" s="23" t="s">
        <v>89</v>
      </c>
      <c r="C2" s="24">
        <v>42199</v>
      </c>
      <c r="D2" s="23" t="s">
        <v>146</v>
      </c>
      <c r="E2" s="24">
        <v>42199</v>
      </c>
      <c r="F2" s="23" t="s">
        <v>147</v>
      </c>
      <c r="G2" s="23" t="s">
        <v>148</v>
      </c>
      <c r="H2" s="23"/>
      <c r="I2" s="24"/>
      <c r="J2" s="23"/>
      <c r="K2" s="23"/>
      <c r="L2" s="23" t="s">
        <v>149</v>
      </c>
    </row>
    <row r="3" spans="1:12" ht="90.3" customHeight="1">
      <c r="A3" s="23" t="s">
        <v>92</v>
      </c>
      <c r="B3" s="23" t="s">
        <v>91</v>
      </c>
      <c r="C3" s="24">
        <v>42205</v>
      </c>
      <c r="D3" s="23" t="s">
        <v>150</v>
      </c>
      <c r="E3" s="24">
        <v>42205</v>
      </c>
      <c r="F3" s="23" t="s">
        <v>151</v>
      </c>
      <c r="G3" s="23" t="s">
        <v>152</v>
      </c>
      <c r="H3" s="23"/>
      <c r="I3" s="24"/>
      <c r="J3" s="23"/>
      <c r="K3" s="23"/>
      <c r="L3" s="23" t="s">
        <v>153</v>
      </c>
    </row>
    <row r="4" spans="1:12" ht="71.7" customHeight="1">
      <c r="A4" s="23" t="s">
        <v>94</v>
      </c>
      <c r="B4" s="23" t="s">
        <v>93</v>
      </c>
      <c r="C4" s="24">
        <v>42321</v>
      </c>
      <c r="D4" s="23" t="s">
        <v>150</v>
      </c>
      <c r="E4" s="24">
        <v>42322</v>
      </c>
      <c r="F4" s="23" t="s">
        <v>154</v>
      </c>
      <c r="G4" s="23" t="s">
        <v>155</v>
      </c>
      <c r="H4" s="23" t="s">
        <v>146</v>
      </c>
      <c r="I4" s="24">
        <v>42326</v>
      </c>
      <c r="J4" s="23" t="s">
        <v>156</v>
      </c>
      <c r="K4" s="23" t="s">
        <v>157</v>
      </c>
      <c r="L4" s="23" t="s">
        <v>158</v>
      </c>
    </row>
    <row r="5" spans="1:12" ht="70.349999999999994" customHeight="1">
      <c r="A5" s="23" t="s">
        <v>96</v>
      </c>
      <c r="B5" s="23" t="s">
        <v>95</v>
      </c>
      <c r="C5" s="24">
        <v>42332</v>
      </c>
      <c r="D5" s="23" t="s">
        <v>146</v>
      </c>
      <c r="E5" s="24">
        <v>42332</v>
      </c>
      <c r="F5" s="23" t="s">
        <v>159</v>
      </c>
      <c r="G5" s="23" t="s">
        <v>160</v>
      </c>
      <c r="H5" s="23"/>
      <c r="I5" s="24"/>
      <c r="J5" s="23"/>
      <c r="K5" s="23"/>
      <c r="L5" s="23" t="s">
        <v>161</v>
      </c>
    </row>
    <row r="6" spans="1:12" ht="89.85" customHeight="1">
      <c r="A6" s="23" t="s">
        <v>16</v>
      </c>
      <c r="B6" s="23" t="s">
        <v>17</v>
      </c>
      <c r="C6" s="24">
        <v>44337</v>
      </c>
      <c r="D6" s="23" t="s">
        <v>146</v>
      </c>
      <c r="E6" s="24">
        <v>44337</v>
      </c>
      <c r="F6" s="23" t="s">
        <v>162</v>
      </c>
      <c r="G6" s="23" t="s">
        <v>163</v>
      </c>
      <c r="H6" s="23" t="s">
        <v>164</v>
      </c>
      <c r="I6" s="24">
        <v>44372</v>
      </c>
      <c r="J6" s="23" t="s">
        <v>165</v>
      </c>
      <c r="K6" s="23" t="s">
        <v>166</v>
      </c>
      <c r="L6" s="23" t="s">
        <v>286</v>
      </c>
    </row>
    <row r="7" spans="1:12" ht="172.8">
      <c r="A7" s="23" t="s">
        <v>19</v>
      </c>
      <c r="B7" s="23" t="s">
        <v>20</v>
      </c>
      <c r="C7" s="24">
        <v>45727</v>
      </c>
      <c r="D7" s="23" t="s">
        <v>146</v>
      </c>
      <c r="E7" s="24">
        <v>45727</v>
      </c>
      <c r="F7" s="23" t="s">
        <v>167</v>
      </c>
      <c r="G7" s="23" t="s">
        <v>168</v>
      </c>
      <c r="H7" s="23" t="s">
        <v>146</v>
      </c>
      <c r="I7" s="24">
        <v>45735</v>
      </c>
      <c r="J7" s="23" t="s">
        <v>169</v>
      </c>
      <c r="K7" s="23" t="s">
        <v>170</v>
      </c>
      <c r="L7" s="23" t="s">
        <v>171</v>
      </c>
    </row>
    <row r="8" spans="1:12" ht="92.1" customHeight="1">
      <c r="A8" s="23" t="s">
        <v>22</v>
      </c>
      <c r="B8" s="23" t="s">
        <v>23</v>
      </c>
      <c r="C8" s="24">
        <v>46081</v>
      </c>
      <c r="D8" s="23" t="s">
        <v>146</v>
      </c>
      <c r="E8" s="24">
        <v>46081</v>
      </c>
      <c r="F8" s="23" t="s">
        <v>172</v>
      </c>
      <c r="G8" s="23" t="s">
        <v>173</v>
      </c>
      <c r="H8" s="23" t="s">
        <v>146</v>
      </c>
      <c r="I8" s="24">
        <v>46084</v>
      </c>
      <c r="J8" s="23" t="s">
        <v>174</v>
      </c>
      <c r="K8" s="23" t="s">
        <v>175</v>
      </c>
      <c r="L8" s="23" t="s">
        <v>176</v>
      </c>
    </row>
    <row r="9" spans="1:12" ht="67.2" customHeight="1">
      <c r="A9" s="23" t="s">
        <v>98</v>
      </c>
      <c r="B9" s="23" t="s">
        <v>97</v>
      </c>
      <c r="C9" s="24">
        <v>42893</v>
      </c>
      <c r="D9" s="23" t="s">
        <v>146</v>
      </c>
      <c r="E9" s="24">
        <v>42893</v>
      </c>
      <c r="F9" s="23" t="s">
        <v>177</v>
      </c>
      <c r="G9" s="23" t="s">
        <v>178</v>
      </c>
      <c r="H9" s="23"/>
      <c r="I9" s="24"/>
      <c r="J9" s="23"/>
      <c r="K9" s="23"/>
      <c r="L9" s="23" t="s">
        <v>179</v>
      </c>
    </row>
    <row r="10" spans="1:12" ht="84.9" customHeight="1">
      <c r="A10" s="23" t="s">
        <v>100</v>
      </c>
      <c r="B10" s="23" t="s">
        <v>99</v>
      </c>
      <c r="C10" s="24">
        <v>42891</v>
      </c>
      <c r="D10" s="23" t="s">
        <v>146</v>
      </c>
      <c r="E10" s="24">
        <v>42891</v>
      </c>
      <c r="F10" s="23" t="s">
        <v>180</v>
      </c>
      <c r="G10" s="23" t="s">
        <v>181</v>
      </c>
      <c r="H10" s="23"/>
      <c r="I10" s="24"/>
      <c r="J10" s="23"/>
      <c r="K10" s="23"/>
      <c r="L10" s="23" t="s">
        <v>182</v>
      </c>
    </row>
    <row r="11" spans="1:12" ht="56.85" customHeight="1">
      <c r="A11" s="23" t="s">
        <v>101</v>
      </c>
      <c r="B11" s="23" t="s">
        <v>102</v>
      </c>
      <c r="C11" s="24">
        <v>43722</v>
      </c>
      <c r="D11" s="23" t="s">
        <v>146</v>
      </c>
      <c r="E11" s="24">
        <v>43722</v>
      </c>
      <c r="F11" s="23" t="s">
        <v>183</v>
      </c>
      <c r="G11" s="23" t="s">
        <v>184</v>
      </c>
      <c r="H11" s="23"/>
      <c r="I11" s="24"/>
      <c r="J11" s="23"/>
      <c r="K11" s="23"/>
      <c r="L11" s="23" t="s">
        <v>185</v>
      </c>
    </row>
    <row r="12" spans="1:12" ht="97.95" customHeight="1">
      <c r="A12" s="23" t="s">
        <v>103</v>
      </c>
      <c r="B12" s="23" t="s">
        <v>104</v>
      </c>
      <c r="C12" s="24">
        <v>43747</v>
      </c>
      <c r="D12" s="23" t="s">
        <v>146</v>
      </c>
      <c r="E12" s="24">
        <v>43747</v>
      </c>
      <c r="F12" s="23" t="s">
        <v>186</v>
      </c>
      <c r="G12" s="23" t="s">
        <v>187</v>
      </c>
      <c r="H12" s="23"/>
      <c r="I12" s="24"/>
      <c r="J12" s="23"/>
      <c r="K12" s="23"/>
      <c r="L12" s="23" t="s">
        <v>188</v>
      </c>
    </row>
    <row r="13" spans="1:12" ht="79.5" customHeight="1">
      <c r="A13" s="23" t="s">
        <v>105</v>
      </c>
      <c r="B13" s="23" t="s">
        <v>29</v>
      </c>
      <c r="C13" s="24">
        <v>45068</v>
      </c>
      <c r="D13" s="23" t="s">
        <v>146</v>
      </c>
      <c r="E13" s="24">
        <v>45068</v>
      </c>
      <c r="F13" s="23" t="s">
        <v>189</v>
      </c>
      <c r="G13" s="23" t="s">
        <v>190</v>
      </c>
      <c r="H13" s="23" t="s">
        <v>146</v>
      </c>
      <c r="I13" s="24">
        <v>45078</v>
      </c>
      <c r="J13" s="23" t="s">
        <v>191</v>
      </c>
      <c r="K13" s="23" t="s">
        <v>192</v>
      </c>
      <c r="L13" s="23" t="s">
        <v>193</v>
      </c>
    </row>
    <row r="14" spans="1:12" ht="51.45" customHeight="1">
      <c r="A14" s="23" t="s">
        <v>28</v>
      </c>
      <c r="B14" s="23" t="s">
        <v>106</v>
      </c>
      <c r="C14" s="24">
        <v>46112</v>
      </c>
      <c r="D14" s="23" t="s">
        <v>146</v>
      </c>
      <c r="E14" s="24">
        <v>46112</v>
      </c>
      <c r="F14" s="23" t="s">
        <v>194</v>
      </c>
      <c r="G14" s="23" t="s">
        <v>195</v>
      </c>
      <c r="H14" s="23"/>
      <c r="I14" s="24"/>
      <c r="J14" s="23"/>
      <c r="K14" s="23"/>
      <c r="L14" s="23" t="s">
        <v>196</v>
      </c>
    </row>
    <row r="15" spans="1:12" ht="43.8" customHeight="1">
      <c r="A15" s="23" t="s">
        <v>107</v>
      </c>
      <c r="B15" s="23" t="s">
        <v>108</v>
      </c>
      <c r="C15" s="24">
        <v>44300</v>
      </c>
      <c r="D15" s="23" t="s">
        <v>197</v>
      </c>
      <c r="E15" s="24">
        <v>44300</v>
      </c>
      <c r="F15" s="23" t="s">
        <v>198</v>
      </c>
      <c r="G15" s="23" t="s">
        <v>199</v>
      </c>
      <c r="H15" s="23"/>
      <c r="I15" s="24"/>
      <c r="J15" s="23"/>
      <c r="K15" s="23"/>
      <c r="L15" s="23" t="s">
        <v>200</v>
      </c>
    </row>
    <row r="16" spans="1:12" ht="53.1" customHeight="1">
      <c r="A16" s="23" t="s">
        <v>109</v>
      </c>
      <c r="B16" s="23" t="s">
        <v>35</v>
      </c>
      <c r="C16" s="24">
        <v>45206</v>
      </c>
      <c r="D16" s="23" t="s">
        <v>146</v>
      </c>
      <c r="E16" s="24">
        <v>45206</v>
      </c>
      <c r="F16" s="23" t="s">
        <v>201</v>
      </c>
      <c r="G16" s="23" t="s">
        <v>202</v>
      </c>
      <c r="H16" s="23" t="s">
        <v>164</v>
      </c>
      <c r="I16" s="24">
        <v>45218</v>
      </c>
      <c r="J16" s="23" t="s">
        <v>203</v>
      </c>
      <c r="K16" s="23" t="s">
        <v>204</v>
      </c>
      <c r="L16" s="23" t="s">
        <v>205</v>
      </c>
    </row>
    <row r="17" spans="1:12" ht="60.3" customHeight="1">
      <c r="A17" s="23" t="s">
        <v>34</v>
      </c>
      <c r="B17" s="23" t="s">
        <v>38</v>
      </c>
      <c r="C17" s="24">
        <v>45821</v>
      </c>
      <c r="D17" s="23" t="s">
        <v>219</v>
      </c>
      <c r="E17" s="24">
        <v>45821</v>
      </c>
      <c r="F17" s="23" t="s">
        <v>220</v>
      </c>
      <c r="G17" s="23" t="s">
        <v>221</v>
      </c>
      <c r="H17" s="23" t="s">
        <v>146</v>
      </c>
      <c r="I17" s="24">
        <v>45832</v>
      </c>
      <c r="J17" s="23" t="s">
        <v>222</v>
      </c>
      <c r="K17" s="23" t="s">
        <v>223</v>
      </c>
      <c r="L17" s="23" t="s">
        <v>224</v>
      </c>
    </row>
    <row r="18" spans="1:12" ht="92.85" customHeight="1">
      <c r="A18" s="23" t="s">
        <v>111</v>
      </c>
      <c r="B18" s="23" t="s">
        <v>110</v>
      </c>
      <c r="C18" s="24">
        <v>43838</v>
      </c>
      <c r="D18" s="23" t="s">
        <v>146</v>
      </c>
      <c r="E18" s="24">
        <v>43839</v>
      </c>
      <c r="F18" s="23" t="s">
        <v>206</v>
      </c>
      <c r="G18" s="23" t="s">
        <v>207</v>
      </c>
      <c r="H18" s="23" t="s">
        <v>146</v>
      </c>
      <c r="I18" s="24">
        <v>43841</v>
      </c>
      <c r="J18" s="23" t="s">
        <v>208</v>
      </c>
      <c r="K18" s="23" t="s">
        <v>209</v>
      </c>
      <c r="L18" s="23" t="s">
        <v>210</v>
      </c>
    </row>
    <row r="19" spans="1:12" ht="59.85" customHeight="1">
      <c r="A19" s="23" t="s">
        <v>113</v>
      </c>
      <c r="B19" s="23" t="s">
        <v>112</v>
      </c>
      <c r="C19" s="24">
        <v>43833</v>
      </c>
      <c r="D19" s="23" t="s">
        <v>150</v>
      </c>
      <c r="E19" s="24">
        <v>43833</v>
      </c>
      <c r="F19" s="23" t="s">
        <v>211</v>
      </c>
      <c r="G19" s="23" t="s">
        <v>212</v>
      </c>
      <c r="H19" s="23"/>
      <c r="I19" s="24"/>
      <c r="J19" s="23"/>
      <c r="K19" s="23"/>
      <c r="L19" s="23" t="s">
        <v>213</v>
      </c>
    </row>
    <row r="20" spans="1:12" ht="63" customHeight="1">
      <c r="A20" s="23" t="s">
        <v>115</v>
      </c>
      <c r="B20" s="23" t="s">
        <v>114</v>
      </c>
      <c r="C20" s="24">
        <v>44326</v>
      </c>
      <c r="D20" s="23" t="s">
        <v>164</v>
      </c>
      <c r="E20" s="24">
        <v>44338</v>
      </c>
      <c r="F20" s="23" t="s">
        <v>214</v>
      </c>
      <c r="G20" s="23" t="s">
        <v>215</v>
      </c>
      <c r="H20" s="23" t="s">
        <v>146</v>
      </c>
      <c r="I20" s="24">
        <v>44326</v>
      </c>
      <c r="J20" s="23" t="s">
        <v>216</v>
      </c>
      <c r="K20" s="23" t="s">
        <v>217</v>
      </c>
      <c r="L20" s="23" t="s">
        <v>218</v>
      </c>
    </row>
    <row r="21" spans="1:12" ht="44.85" customHeight="1">
      <c r="A21" s="23" t="s">
        <v>37</v>
      </c>
      <c r="B21" s="23" t="s">
        <v>48</v>
      </c>
      <c r="C21" s="24">
        <v>42717</v>
      </c>
      <c r="D21" s="23" t="s">
        <v>146</v>
      </c>
      <c r="E21" s="24">
        <v>42717</v>
      </c>
      <c r="F21" s="23" t="s">
        <v>225</v>
      </c>
      <c r="G21" s="23" t="s">
        <v>226</v>
      </c>
      <c r="H21" s="23" t="s">
        <v>146</v>
      </c>
      <c r="I21" s="24">
        <v>42734</v>
      </c>
      <c r="J21" s="23" t="s">
        <v>227</v>
      </c>
      <c r="K21" s="23" t="s">
        <v>228</v>
      </c>
      <c r="L21" s="23" t="s">
        <v>293</v>
      </c>
    </row>
    <row r="22" spans="1:12" ht="86.7" customHeight="1">
      <c r="A22" s="23" t="s">
        <v>47</v>
      </c>
      <c r="B22" s="23" t="s">
        <v>116</v>
      </c>
      <c r="C22" s="24">
        <v>45707</v>
      </c>
      <c r="D22" s="23" t="s">
        <v>146</v>
      </c>
      <c r="E22" s="24">
        <v>45707</v>
      </c>
      <c r="F22" s="23" t="s">
        <v>229</v>
      </c>
      <c r="G22" s="23" t="s">
        <v>230</v>
      </c>
      <c r="H22" s="23"/>
      <c r="I22" s="24"/>
      <c r="J22" s="23"/>
      <c r="K22" s="23"/>
      <c r="L22" s="23" t="s">
        <v>231</v>
      </c>
    </row>
    <row r="23" spans="1:12" ht="70.349999999999994" customHeight="1">
      <c r="A23" s="23" t="s">
        <v>117</v>
      </c>
      <c r="B23" s="23" t="s">
        <v>118</v>
      </c>
      <c r="C23" s="24">
        <v>42017</v>
      </c>
      <c r="D23" s="23" t="s">
        <v>232</v>
      </c>
      <c r="E23" s="24">
        <v>42017</v>
      </c>
      <c r="F23" s="23" t="s">
        <v>233</v>
      </c>
      <c r="G23" s="23" t="s">
        <v>234</v>
      </c>
      <c r="H23" s="23"/>
      <c r="I23" s="24"/>
      <c r="J23" s="23"/>
      <c r="K23" s="23"/>
      <c r="L23" s="23" t="s">
        <v>235</v>
      </c>
    </row>
    <row r="24" spans="1:12" ht="67.5" customHeight="1">
      <c r="A24" s="23" t="s">
        <v>119</v>
      </c>
      <c r="B24" s="23" t="s">
        <v>120</v>
      </c>
      <c r="C24" s="24">
        <v>42019</v>
      </c>
      <c r="D24" s="23" t="s">
        <v>146</v>
      </c>
      <c r="E24" s="24">
        <v>42019</v>
      </c>
      <c r="F24" s="23" t="s">
        <v>236</v>
      </c>
      <c r="G24" s="23" t="s">
        <v>237</v>
      </c>
      <c r="H24" s="23"/>
      <c r="I24" s="24"/>
      <c r="J24" s="23"/>
      <c r="K24" s="23"/>
      <c r="L24" s="23" t="s">
        <v>238</v>
      </c>
    </row>
    <row r="25" spans="1:12" ht="65.7" customHeight="1">
      <c r="A25" s="23" t="s">
        <v>121</v>
      </c>
      <c r="B25" s="23" t="s">
        <v>239</v>
      </c>
      <c r="C25" s="24">
        <v>43510</v>
      </c>
      <c r="D25" s="23" t="s">
        <v>146</v>
      </c>
      <c r="E25" s="24">
        <v>43510</v>
      </c>
      <c r="F25" s="23" t="s">
        <v>240</v>
      </c>
      <c r="G25" s="23" t="s">
        <v>241</v>
      </c>
      <c r="H25" s="23" t="s">
        <v>146</v>
      </c>
      <c r="I25" s="24">
        <v>43529</v>
      </c>
      <c r="J25" s="23" t="s">
        <v>242</v>
      </c>
      <c r="K25" s="23" t="s">
        <v>243</v>
      </c>
      <c r="L25" s="23" t="s">
        <v>287</v>
      </c>
    </row>
    <row r="26" spans="1:12" ht="48" customHeight="1">
      <c r="A26" s="23" t="s">
        <v>122</v>
      </c>
      <c r="B26" s="23" t="s">
        <v>294</v>
      </c>
      <c r="C26" s="24">
        <v>43539</v>
      </c>
      <c r="D26" s="23" t="s">
        <v>146</v>
      </c>
      <c r="E26" s="24">
        <v>43539</v>
      </c>
      <c r="F26" s="23" t="s">
        <v>295</v>
      </c>
      <c r="G26" s="23" t="s">
        <v>296</v>
      </c>
      <c r="H26" s="23" t="s">
        <v>146</v>
      </c>
      <c r="I26" s="24">
        <v>43543</v>
      </c>
      <c r="J26" s="23" t="s">
        <v>291</v>
      </c>
      <c r="K26" s="23" t="s">
        <v>292</v>
      </c>
      <c r="L26" s="23" t="s">
        <v>297</v>
      </c>
    </row>
    <row r="27" spans="1:12" ht="48.75" customHeight="1">
      <c r="A27" s="23" t="s">
        <v>58</v>
      </c>
      <c r="B27" s="23" t="s">
        <v>59</v>
      </c>
      <c r="C27" s="24">
        <v>42375</v>
      </c>
      <c r="D27" s="23" t="s">
        <v>244</v>
      </c>
      <c r="E27" s="24">
        <v>42375</v>
      </c>
      <c r="F27" s="23" t="s">
        <v>245</v>
      </c>
      <c r="G27" s="23" t="s">
        <v>246</v>
      </c>
      <c r="H27" s="23"/>
      <c r="I27" s="24"/>
      <c r="J27" s="23"/>
      <c r="K27" s="23"/>
      <c r="L27" s="23" t="s">
        <v>288</v>
      </c>
    </row>
    <row r="28" spans="1:12" ht="67.95" customHeight="1">
      <c r="A28" s="23" t="s">
        <v>63</v>
      </c>
      <c r="B28" s="23" t="s">
        <v>64</v>
      </c>
      <c r="C28" s="24">
        <v>44616</v>
      </c>
      <c r="D28" s="23" t="s">
        <v>247</v>
      </c>
      <c r="E28" s="24">
        <v>44616</v>
      </c>
      <c r="F28" s="23" t="s">
        <v>248</v>
      </c>
      <c r="G28" s="23" t="s">
        <v>249</v>
      </c>
      <c r="H28" s="23"/>
      <c r="I28" s="24"/>
      <c r="J28" s="23"/>
      <c r="K28" s="23"/>
      <c r="L28" s="23" t="s">
        <v>250</v>
      </c>
    </row>
    <row r="29" spans="1:12" ht="75.599999999999994" customHeight="1">
      <c r="A29" s="23" t="s">
        <v>67</v>
      </c>
      <c r="B29" s="23" t="s">
        <v>68</v>
      </c>
      <c r="C29" s="24">
        <v>41702</v>
      </c>
      <c r="D29" s="23" t="s">
        <v>146</v>
      </c>
      <c r="E29" s="24">
        <v>41702</v>
      </c>
      <c r="F29" s="23" t="s">
        <v>251</v>
      </c>
      <c r="G29" s="23" t="s">
        <v>252</v>
      </c>
      <c r="H29" s="23" t="s">
        <v>146</v>
      </c>
      <c r="I29" s="24">
        <v>41716</v>
      </c>
      <c r="J29" s="23" t="s">
        <v>253</v>
      </c>
      <c r="K29" s="23" t="s">
        <v>254</v>
      </c>
      <c r="L29" s="23" t="s">
        <v>255</v>
      </c>
    </row>
    <row r="30" spans="1:12" ht="51.9" customHeight="1">
      <c r="A30" s="23" t="s">
        <v>124</v>
      </c>
      <c r="B30" s="23" t="s">
        <v>123</v>
      </c>
      <c r="C30" s="24">
        <v>41886</v>
      </c>
      <c r="D30" s="23" t="s">
        <v>150</v>
      </c>
      <c r="E30" s="24">
        <v>41885</v>
      </c>
      <c r="F30" s="23" t="s">
        <v>256</v>
      </c>
      <c r="G30" s="23" t="s">
        <v>257</v>
      </c>
      <c r="H30" s="23"/>
      <c r="I30" s="24"/>
      <c r="J30" s="23"/>
      <c r="K30" s="23"/>
      <c r="L30" s="23" t="s">
        <v>258</v>
      </c>
    </row>
    <row r="31" spans="1:12" ht="84.45" customHeight="1">
      <c r="A31" s="23" t="s">
        <v>126</v>
      </c>
      <c r="B31" s="23" t="s">
        <v>125</v>
      </c>
      <c r="C31" s="24">
        <v>41884</v>
      </c>
      <c r="D31" s="23" t="s">
        <v>146</v>
      </c>
      <c r="E31" s="24">
        <v>41884</v>
      </c>
      <c r="F31" s="23" t="s">
        <v>259</v>
      </c>
      <c r="G31" s="23" t="s">
        <v>260</v>
      </c>
      <c r="H31" s="23"/>
      <c r="I31" s="24"/>
      <c r="J31" s="23"/>
      <c r="K31" s="23"/>
      <c r="L31" s="23" t="s">
        <v>261</v>
      </c>
    </row>
    <row r="32" spans="1:12" ht="78.75" customHeight="1">
      <c r="A32" s="23" t="s">
        <v>128</v>
      </c>
      <c r="B32" s="23" t="s">
        <v>127</v>
      </c>
      <c r="C32" s="24">
        <v>41859</v>
      </c>
      <c r="D32" s="23" t="s">
        <v>146</v>
      </c>
      <c r="E32" s="24">
        <v>41859</v>
      </c>
      <c r="F32" s="23" t="s">
        <v>262</v>
      </c>
      <c r="G32" s="23" t="s">
        <v>263</v>
      </c>
      <c r="H32" s="23"/>
      <c r="I32" s="24"/>
      <c r="J32" s="23"/>
      <c r="K32" s="23"/>
      <c r="L32" s="23" t="s">
        <v>264</v>
      </c>
    </row>
    <row r="33" spans="1:12" ht="67.2" customHeight="1">
      <c r="A33" s="23" t="s">
        <v>130</v>
      </c>
      <c r="B33" s="23" t="s">
        <v>129</v>
      </c>
      <c r="C33" s="24">
        <v>46120</v>
      </c>
      <c r="D33" s="23" t="s">
        <v>146</v>
      </c>
      <c r="E33" s="24">
        <v>46120</v>
      </c>
      <c r="F33" s="23" t="s">
        <v>265</v>
      </c>
      <c r="G33" s="23" t="s">
        <v>266</v>
      </c>
      <c r="H33" s="23"/>
      <c r="I33" s="24"/>
      <c r="J33" s="23"/>
      <c r="K33" s="23"/>
      <c r="L33" s="23" t="s">
        <v>267</v>
      </c>
    </row>
    <row r="34" spans="1:12" ht="48.3" customHeight="1">
      <c r="A34" s="23" t="s">
        <v>132</v>
      </c>
      <c r="B34" s="23" t="s">
        <v>131</v>
      </c>
      <c r="C34" s="24">
        <v>46125</v>
      </c>
      <c r="D34" s="23" t="s">
        <v>146</v>
      </c>
      <c r="E34" s="24">
        <v>46125</v>
      </c>
      <c r="F34" s="23" t="s">
        <v>268</v>
      </c>
      <c r="G34" s="23" t="s">
        <v>269</v>
      </c>
      <c r="H34" s="23" t="s">
        <v>146</v>
      </c>
      <c r="I34" s="24">
        <v>46126</v>
      </c>
      <c r="J34" s="23" t="s">
        <v>270</v>
      </c>
      <c r="K34" s="23" t="s">
        <v>271</v>
      </c>
      <c r="L34" s="23" t="s">
        <v>289</v>
      </c>
    </row>
    <row r="35" spans="1:12" ht="49.2" customHeight="1">
      <c r="A35" s="23" t="s">
        <v>134</v>
      </c>
      <c r="B35" s="23" t="s">
        <v>133</v>
      </c>
      <c r="C35" s="24">
        <v>42955</v>
      </c>
      <c r="D35" s="23" t="s">
        <v>146</v>
      </c>
      <c r="E35" s="24">
        <v>42956</v>
      </c>
      <c r="F35" s="23" t="s">
        <v>272</v>
      </c>
      <c r="G35" s="23" t="s">
        <v>273</v>
      </c>
      <c r="H35" s="23" t="s">
        <v>146</v>
      </c>
      <c r="I35" s="24">
        <v>42957</v>
      </c>
      <c r="J35" s="23" t="s">
        <v>274</v>
      </c>
      <c r="K35" s="23" t="s">
        <v>275</v>
      </c>
      <c r="L35" s="23" t="s">
        <v>290</v>
      </c>
    </row>
    <row r="36" spans="1:12" ht="67.2" customHeight="1">
      <c r="A36" s="23" t="s">
        <v>136</v>
      </c>
      <c r="B36" s="23" t="s">
        <v>135</v>
      </c>
      <c r="C36" s="24">
        <v>42920</v>
      </c>
      <c r="D36" s="23" t="s">
        <v>146</v>
      </c>
      <c r="E36" s="24">
        <v>42920</v>
      </c>
      <c r="F36" s="23" t="s">
        <v>276</v>
      </c>
      <c r="G36" s="23" t="s">
        <v>277</v>
      </c>
      <c r="H36" s="23"/>
      <c r="I36" s="24"/>
      <c r="J36" s="23"/>
      <c r="K36" s="23"/>
      <c r="L36" s="23" t="s">
        <v>278</v>
      </c>
    </row>
    <row r="37" spans="1:12" ht="72">
      <c r="A37" s="23" t="s">
        <v>76</v>
      </c>
      <c r="B37" s="27" t="s">
        <v>77</v>
      </c>
      <c r="C37" s="26">
        <v>44775</v>
      </c>
      <c r="D37" s="22" t="s">
        <v>146</v>
      </c>
      <c r="E37" s="26">
        <v>44775</v>
      </c>
      <c r="F37" s="27" t="s">
        <v>279</v>
      </c>
      <c r="G37" s="22" t="s">
        <v>280</v>
      </c>
      <c r="H37" s="22"/>
      <c r="I37" s="22"/>
      <c r="J37" s="22"/>
      <c r="K37" s="22"/>
      <c r="L37" s="27" t="s">
        <v>281</v>
      </c>
    </row>
    <row r="38" spans="1:12" ht="125.4" customHeight="1">
      <c r="A38" s="23" t="s">
        <v>285</v>
      </c>
      <c r="B38" s="27" t="s">
        <v>299</v>
      </c>
      <c r="C38" s="26">
        <v>42881</v>
      </c>
      <c r="D38" s="22" t="s">
        <v>146</v>
      </c>
      <c r="E38" s="26">
        <v>42881</v>
      </c>
      <c r="F38" s="27" t="s">
        <v>300</v>
      </c>
      <c r="G38" s="22" t="s">
        <v>301</v>
      </c>
      <c r="H38" s="22"/>
      <c r="I38" s="22"/>
      <c r="J38" s="22"/>
      <c r="K38" s="22"/>
      <c r="L38" s="28" t="s">
        <v>308</v>
      </c>
    </row>
    <row r="39" spans="1:12" ht="216">
      <c r="A39" s="23" t="s">
        <v>298</v>
      </c>
      <c r="B39" s="27" t="s">
        <v>302</v>
      </c>
      <c r="C39" s="26">
        <v>42723</v>
      </c>
      <c r="D39" s="22" t="s">
        <v>146</v>
      </c>
      <c r="E39" s="26">
        <v>42725</v>
      </c>
      <c r="F39" s="27" t="s">
        <v>303</v>
      </c>
      <c r="G39" s="22" t="s">
        <v>304</v>
      </c>
      <c r="H39" s="22" t="s">
        <v>146</v>
      </c>
      <c r="I39" s="22">
        <v>42727</v>
      </c>
      <c r="J39" s="22" t="s">
        <v>305</v>
      </c>
      <c r="K39" s="22" t="s">
        <v>306</v>
      </c>
      <c r="L39" s="27" t="s">
        <v>307</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45 events</vt:lpstr>
      <vt:lpstr>135 Raw Peak Audit</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Cresswell</dc:creator>
  <cp:lastModifiedBy>Chris Cresswell</cp:lastModifiedBy>
  <dcterms:created xsi:type="dcterms:W3CDTF">2026-10-09T13:19:25Z</dcterms:created>
  <dcterms:modified xsi:type="dcterms:W3CDTF">2026-10-19T11:06:51Z</dcterms:modified>
</cp:coreProperties>
</file>